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garav\Downloads\"/>
    </mc:Choice>
  </mc:AlternateContent>
  <xr:revisionPtr revIDLastSave="0" documentId="13_ncr:1_{3355CB1E-66FC-44F8-9666-8EE3C22B9A01}" xr6:coauthVersionLast="47" xr6:coauthVersionMax="47" xr10:uidLastSave="{00000000-0000-0000-0000-000000000000}"/>
  <bookViews>
    <workbookView xWindow="22932" yWindow="-1056" windowWidth="23256" windowHeight="13896" activeTab="2" xr2:uid="{F57DCE60-47F5-486F-9753-9D44721C8607}"/>
  </bookViews>
  <sheets>
    <sheet name="Ventes" sheetId="3" r:id="rId1"/>
    <sheet name="Client" sheetId="9" r:id="rId2"/>
    <sheet name="Commandes" sheetId="10" r:id="rId3"/>
  </sheets>
  <definedNames>
    <definedName name="_xlnm._FilterDatabase" localSheetId="2" hidden="1">Commandes!$A$1:$E$71</definedName>
    <definedName name="_xlnm._FilterDatabase" localSheetId="0" hidden="1">Ventes!$A$1:$L$71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1" i="3" l="1"/>
  <c r="H70" i="3"/>
  <c r="H69" i="3"/>
  <c r="H28" i="3"/>
  <c r="H52" i="3"/>
  <c r="H66" i="3"/>
  <c r="H65" i="3"/>
  <c r="H64" i="3"/>
  <c r="H25" i="3"/>
  <c r="H11" i="3"/>
  <c r="H49" i="3"/>
  <c r="H60" i="3"/>
  <c r="H59" i="3"/>
  <c r="H10" i="3"/>
  <c r="H57" i="3"/>
  <c r="H56" i="3"/>
  <c r="H55" i="3"/>
  <c r="H24" i="3"/>
  <c r="H7" i="3"/>
  <c r="H48" i="3"/>
  <c r="H51" i="3"/>
  <c r="H50" i="3"/>
  <c r="H68" i="3"/>
  <c r="H33" i="3"/>
  <c r="H17" i="3"/>
  <c r="H22" i="3"/>
  <c r="H46" i="3"/>
  <c r="H6" i="3"/>
  <c r="H47" i="3"/>
  <c r="H42" i="3"/>
  <c r="H41" i="3"/>
  <c r="H67" i="3"/>
  <c r="H45" i="3"/>
  <c r="H37" i="3"/>
  <c r="H38" i="3"/>
  <c r="H63" i="3"/>
  <c r="H35" i="3"/>
  <c r="H34" i="3"/>
  <c r="H62" i="3"/>
  <c r="H32" i="3"/>
  <c r="H31" i="3"/>
  <c r="H21" i="3"/>
  <c r="H5" i="3"/>
  <c r="H44" i="3"/>
  <c r="H27" i="3"/>
  <c r="H26" i="3"/>
  <c r="H61" i="3"/>
  <c r="H4" i="3"/>
  <c r="H23" i="3"/>
  <c r="H20" i="3"/>
  <c r="H3" i="3"/>
  <c r="H43" i="3"/>
  <c r="H19" i="3"/>
  <c r="H18" i="3"/>
  <c r="H58" i="3"/>
  <c r="H54" i="3"/>
  <c r="H16" i="3"/>
  <c r="H30" i="3"/>
  <c r="H15" i="3"/>
  <c r="H39" i="3"/>
  <c r="H2" i="3"/>
  <c r="H40" i="3"/>
  <c r="H9" i="3"/>
  <c r="H8" i="3"/>
  <c r="H53" i="3"/>
  <c r="H29" i="3"/>
  <c r="H14" i="3"/>
  <c r="H36" i="3"/>
  <c r="H12" i="3"/>
  <c r="H13" i="3"/>
</calcChain>
</file>

<file path=xl/sharedStrings.xml><?xml version="1.0" encoding="utf-8"?>
<sst xmlns="http://schemas.openxmlformats.org/spreadsheetml/2006/main" count="806" uniqueCount="139">
  <si>
    <t>Électrique</t>
  </si>
  <si>
    <t>France</t>
  </si>
  <si>
    <t>Standard</t>
  </si>
  <si>
    <t>Quantité</t>
  </si>
  <si>
    <t>Description</t>
  </si>
  <si>
    <t>Numéro de pièce</t>
  </si>
  <si>
    <t>Numéro de commande</t>
  </si>
  <si>
    <t>Prix unitaire (CAD)</t>
  </si>
  <si>
    <t>OS-2026-1001</t>
  </si>
  <si>
    <t>POH-QC-1101</t>
  </si>
  <si>
    <t>Pompe à huile compacte pour systèmes hydrauliques</t>
  </si>
  <si>
    <t>OS-2026-1002</t>
  </si>
  <si>
    <t>POH-QC-1102</t>
  </si>
  <si>
    <t>Pompe à huile à engrenages pour usage continu</t>
  </si>
  <si>
    <t>OS-2026-1003</t>
  </si>
  <si>
    <t>POH-QC-1103</t>
  </si>
  <si>
    <t>Pompe à huile électrique à débit variable</t>
  </si>
  <si>
    <t>OS-2026-1004</t>
  </si>
  <si>
    <t>POH-QC-1104</t>
  </si>
  <si>
    <t>Pompe à huile pour compresseur industriel</t>
  </si>
  <si>
    <t>OS-2026-1005</t>
  </si>
  <si>
    <t>POH-QC-1105</t>
  </si>
  <si>
    <t>Pompe à huile submersible industrielle</t>
  </si>
  <si>
    <t>OS-2026-1006</t>
  </si>
  <si>
    <t>POH-QC-1106</t>
  </si>
  <si>
    <t>Pompe à huile haute température</t>
  </si>
  <si>
    <t>OS-2026-1007</t>
  </si>
  <si>
    <t>POH-QC-1107</t>
  </si>
  <si>
    <t>Pompe à huile standard pour fabrication</t>
  </si>
  <si>
    <t>OS-2026-1008</t>
  </si>
  <si>
    <t>POH-QC-1108</t>
  </si>
  <si>
    <t>Pompe à huile à entraînement direct</t>
  </si>
  <si>
    <t>OS-2026-1009</t>
  </si>
  <si>
    <t>POH-QC-1109</t>
  </si>
  <si>
    <t>Pompe à huile renforcée pour milieu abrasif</t>
  </si>
  <si>
    <t>OS-2026-1010</t>
  </si>
  <si>
    <t>POH-QC-1110</t>
  </si>
  <si>
    <t>Pompe à huile industrielle haute pression</t>
  </si>
  <si>
    <t>OS-2026-1011</t>
  </si>
  <si>
    <t>POH-QC-1111</t>
  </si>
  <si>
    <t>OS-2026-1012</t>
  </si>
  <si>
    <t>Date de vente</t>
  </si>
  <si>
    <t>Industrielle</t>
  </si>
  <si>
    <t>Compacte</t>
  </si>
  <si>
    <t>Catégorie</t>
  </si>
  <si>
    <t>Total</t>
  </si>
  <si>
    <t>Mode de paiement</t>
  </si>
  <si>
    <t>Canal de vente</t>
  </si>
  <si>
    <t>En ligne</t>
  </si>
  <si>
    <t>Par représentant</t>
  </si>
  <si>
    <t>Vente directe</t>
  </si>
  <si>
    <t>Représentant</t>
  </si>
  <si>
    <t>Carte de crédit</t>
  </si>
  <si>
    <t>Virement bancaire</t>
  </si>
  <si>
    <t>Paiement comptant</t>
  </si>
  <si>
    <t>OS-2025-1013</t>
  </si>
  <si>
    <t>OS-2025-1015</t>
  </si>
  <si>
    <t>OS-2025-1014</t>
  </si>
  <si>
    <t>OS-2025-1016</t>
  </si>
  <si>
    <t>OS-2025-1017</t>
  </si>
  <si>
    <t>OS-2025-1018</t>
  </si>
  <si>
    <t>OS-2025-1019</t>
  </si>
  <si>
    <t>OS-2025-1020</t>
  </si>
  <si>
    <t>OS-2025-1021</t>
  </si>
  <si>
    <t>OS-2025-1022</t>
  </si>
  <si>
    <t>OS-2025-1023</t>
  </si>
  <si>
    <t>OS-2025-1024</t>
  </si>
  <si>
    <t>OS-2025-1025</t>
  </si>
  <si>
    <t>OS-2025-1026</t>
  </si>
  <si>
    <t>OS-2025-1027</t>
  </si>
  <si>
    <t>OS-2025-1028</t>
  </si>
  <si>
    <t>OS-2025-1029</t>
  </si>
  <si>
    <t>OS-2025-1030</t>
  </si>
  <si>
    <t>OS-2025-1031</t>
  </si>
  <si>
    <t>OS-2025-1032</t>
  </si>
  <si>
    <t>OS-2025-1033</t>
  </si>
  <si>
    <t>OS-2025-1034</t>
  </si>
  <si>
    <t>OS-2025-1035</t>
  </si>
  <si>
    <t>OS-2025-1037</t>
  </si>
  <si>
    <t>OS-2025-1036</t>
  </si>
  <si>
    <t>OS-2025-1038</t>
  </si>
  <si>
    <t>OS-2025-1039</t>
  </si>
  <si>
    <t>OS-2025-1040</t>
  </si>
  <si>
    <t>OS-2025-1041</t>
  </si>
  <si>
    <t>OS-2025-1042</t>
  </si>
  <si>
    <t>OS-2025-1043</t>
  </si>
  <si>
    <t>OS-2025-1045</t>
  </si>
  <si>
    <t>OS-2025-1044</t>
  </si>
  <si>
    <t>OS-2025-1046</t>
  </si>
  <si>
    <t>OS-2025-1047</t>
  </si>
  <si>
    <t>OS-2025-1048</t>
  </si>
  <si>
    <t>OS-2025-1049</t>
  </si>
  <si>
    <t>OS-2025-1050</t>
  </si>
  <si>
    <t>J. Tremblay</t>
  </si>
  <si>
    <t>M. Gagnon</t>
  </si>
  <si>
    <t>A. Roy</t>
  </si>
  <si>
    <t>L. Bouchard</t>
  </si>
  <si>
    <t>Alpha Industrial Solutions</t>
  </si>
  <si>
    <t>2450 Innovation Dr., Chicago, IL</t>
  </si>
  <si>
    <t>Niagara Flow Systems</t>
  </si>
  <si>
    <t>1120 River Rd., Mississauga, ON</t>
  </si>
  <si>
    <t>Pacific Tech Manufacturing</t>
  </si>
  <si>
    <t>890 Harbor Blvd., Long Beach, CA</t>
  </si>
  <si>
    <t>EuroMec Industries</t>
  </si>
  <si>
    <t>18 Rue de l’Industrie, Lyon</t>
  </si>
  <si>
    <t>RheinTech GmbH</t>
  </si>
  <si>
    <t>Industriepark 7, Düsseldorf</t>
  </si>
  <si>
    <t>Nordic Process Equipment</t>
  </si>
  <si>
    <t>Teknologivägen 22, Malmö</t>
  </si>
  <si>
    <t>Client</t>
  </si>
  <si>
    <t>Pays</t>
  </si>
  <si>
    <t>Zone commerciale</t>
  </si>
  <si>
    <t>Canada</t>
  </si>
  <si>
    <t>Adresse physique</t>
  </si>
  <si>
    <t>Amérique du Nord</t>
  </si>
  <si>
    <t>Europe</t>
  </si>
  <si>
    <t>Allemagne</t>
  </si>
  <si>
    <t>États-Unis</t>
  </si>
  <si>
    <t>Britannia Industrial Systems</t>
  </si>
  <si>
    <t>42 Industrial Park Way, Birmingham</t>
  </si>
  <si>
    <t>Royaume‑Uni</t>
  </si>
  <si>
    <t>OrderID</t>
  </si>
  <si>
    <t>ClientID</t>
  </si>
  <si>
    <t>Date de commande</t>
  </si>
  <si>
    <t>Date requise</t>
  </si>
  <si>
    <t>État</t>
  </si>
  <si>
    <t>C001</t>
  </si>
  <si>
    <t>Fermée</t>
  </si>
  <si>
    <t>C002</t>
  </si>
  <si>
    <t>Expédiée</t>
  </si>
  <si>
    <t>C003</t>
  </si>
  <si>
    <t>C004</t>
  </si>
  <si>
    <t>En retard</t>
  </si>
  <si>
    <t>C005</t>
  </si>
  <si>
    <t>C006</t>
  </si>
  <si>
    <t>Ouverte</t>
  </si>
  <si>
    <t>ClientId</t>
  </si>
  <si>
    <t>C007</t>
  </si>
  <si>
    <t>11POH-QC-1102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</si>
</sst>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$&quot;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0" fontId="18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3B39-7677-453F-B171-0CB57A3BD202}">
  <sheetPr filterMode="1"/>
  <dimension ref="A1:L71"/>
  <sheetViews>
    <sheetView workbookViewId="0"/>
  </sheetViews>
  <sheetFormatPr baseColWidth="10" defaultRowHeight="15" x14ac:dyDescent="0.25"/>
  <cols>
    <col min="1" max="1" width="12.5703125" style="1" bestFit="1" customWidth="1"/>
    <col min="2" max="2" width="21.5703125" style="1" bestFit="1" customWidth="1"/>
    <col min="3" max="3" width="16.42578125" style="1" bestFit="1" customWidth="1"/>
    <col min="4" max="4" width="49" style="1" bestFit="1" customWidth="1"/>
    <col min="5" max="5" width="11.28515625" style="1" bestFit="1" customWidth="1"/>
    <col min="6" max="6" width="17.5703125" style="7" bestFit="1" customWidth="1"/>
    <col min="7" max="7" width="9.140625" style="1" bestFit="1" customWidth="1"/>
    <col min="8" max="8" width="10.42578125" style="7" bestFit="1" customWidth="1"/>
    <col min="9" max="9" width="18.5703125" style="1" bestFit="1" customWidth="1"/>
    <col min="10" max="10" width="15.85546875" style="1" bestFit="1" customWidth="1"/>
    <col min="11" max="11" width="12.5703125" bestFit="1" customWidth="1"/>
    <col min="12" max="12" width="7.7109375" bestFit="1" customWidth="1"/>
  </cols>
  <sheetData>
    <row r="1" spans="1:12" ht="16.5" x14ac:dyDescent="0.25">
      <c r="A1" s="1" t="s">
        <v>41</v>
      </c>
      <c r="B1" s="3" t="s">
        <v>6</v>
      </c>
      <c r="C1" s="3" t="s">
        <v>5</v>
      </c>
      <c r="D1" s="3" t="s">
        <v>4</v>
      </c>
      <c r="E1" s="1" t="s">
        <v>44</v>
      </c>
      <c r="F1" s="4" t="s">
        <v>7</v>
      </c>
      <c r="G1" s="5" t="s">
        <v>3</v>
      </c>
      <c r="H1" s="4" t="s">
        <v>45</v>
      </c>
      <c r="I1" s="1" t="s">
        <v>46</v>
      </c>
      <c r="J1" s="1" t="s">
        <v>47</v>
      </c>
      <c r="K1" s="1" t="s">
        <v>51</v>
      </c>
      <c r="L1" s="1" t="s">
        <v>136</v>
      </c>
    </row>
    <row r="2" spans="1:12" x14ac:dyDescent="0.25">
      <c r="A2" s="6">
        <v>46045</v>
      </c>
      <c r="B2" s="3" t="s">
        <v>35</v>
      </c>
      <c r="C2" s="3" t="s">
        <v>138</v>
      </c>
      <c r="D2" s="3" t="s">
        <v>13</v>
      </c>
      <c r="E2" s="3" t="s">
        <v>43</v>
      </c>
      <c r="F2">
        <v>1250</v>
      </c>
      <c r="G2" s="1">
        <v>9</v>
      </c>
      <c r="H2" s="4">
        <f>G2*F2</f>
        <v>11250</v>
      </c>
      <c r="I2" s="3" t="s">
        <v>54</v>
      </c>
      <c r="J2" s="3" t="s">
        <v>50</v>
      </c>
      <c r="L2" t="s">
        <v>137</v>
      </c>
    </row>
    <row r="3" spans="1:12" x14ac:dyDescent="0.25">
      <c r="A3" s="6">
        <v>45982</v>
      </c>
      <c r="B3" s="3" t="s">
        <v>62</v>
      </c>
      <c r="C3" s="3" t="s">
        <v>12</v>
      </c>
      <c r="D3" s="3" t="s">
        <v>13</v>
      </c>
      <c r="E3" s="3" t="s">
        <v>43</v>
      </c>
      <c r="F3">
        <v>1250</v>
      </c>
      <c r="G3" s="1">
        <v>11</v>
      </c>
      <c r="H3" s="4">
        <f>G3*F3</f>
        <v>13750</v>
      </c>
      <c r="I3" s="3" t="s">
        <v>54</v>
      </c>
      <c r="J3" s="3" t="s">
        <v>50</v>
      </c>
      <c r="L3" t="s">
        <v>134</v>
      </c>
    </row>
    <row r="4" spans="1:12" x14ac:dyDescent="0.25">
      <c r="A4" s="6">
        <v>45968</v>
      </c>
      <c r="B4" s="3" t="s">
        <v>65</v>
      </c>
      <c r="C4" s="3" t="s">
        <v>12</v>
      </c>
      <c r="D4" s="3" t="s">
        <v>13</v>
      </c>
      <c r="E4" s="3" t="s">
        <v>43</v>
      </c>
      <c r="F4">
        <v>1250</v>
      </c>
      <c r="G4" s="1">
        <v>4</v>
      </c>
      <c r="H4" s="4">
        <f>G4*F4</f>
        <v>5000</v>
      </c>
      <c r="I4" s="3" t="s">
        <v>52</v>
      </c>
      <c r="J4" s="3" t="s">
        <v>49</v>
      </c>
      <c r="K4" t="s">
        <v>93</v>
      </c>
      <c r="L4" t="s">
        <v>134</v>
      </c>
    </row>
    <row r="5" spans="1:12" x14ac:dyDescent="0.25">
      <c r="A5" s="6">
        <v>45938</v>
      </c>
      <c r="B5" s="3" t="s">
        <v>70</v>
      </c>
      <c r="C5" s="3" t="s">
        <v>12</v>
      </c>
      <c r="D5" s="3" t="s">
        <v>13</v>
      </c>
      <c r="E5" s="3" t="s">
        <v>43</v>
      </c>
      <c r="F5">
        <v>1250</v>
      </c>
      <c r="G5" s="1">
        <v>5</v>
      </c>
      <c r="H5" s="4">
        <f>G5*F5</f>
        <v>6250</v>
      </c>
      <c r="I5" s="3" t="s">
        <v>54</v>
      </c>
      <c r="J5" s="3" t="s">
        <v>50</v>
      </c>
      <c r="L5" t="s">
        <v>137</v>
      </c>
    </row>
    <row r="6" spans="1:12" x14ac:dyDescent="0.25">
      <c r="A6" s="6">
        <v>45845</v>
      </c>
      <c r="B6" s="3" t="s">
        <v>85</v>
      </c>
      <c r="C6" s="3" t="s">
        <v>12</v>
      </c>
      <c r="D6" s="3" t="s">
        <v>13</v>
      </c>
      <c r="E6" s="3" t="s">
        <v>43</v>
      </c>
      <c r="F6">
        <v>1250</v>
      </c>
      <c r="G6" s="1">
        <v>4</v>
      </c>
      <c r="H6" s="4">
        <f>G6*F6</f>
        <v>5000</v>
      </c>
      <c r="I6" s="3" t="s">
        <v>52</v>
      </c>
      <c r="J6" s="3" t="s">
        <v>49</v>
      </c>
      <c r="K6" t="s">
        <v>95</v>
      </c>
      <c r="L6" t="s">
        <v>130</v>
      </c>
    </row>
    <row r="7" spans="1:12" x14ac:dyDescent="0.25">
      <c r="A7" s="6">
        <v>45785</v>
      </c>
      <c r="B7" s="3" t="s">
        <v>72</v>
      </c>
      <c r="C7" s="3" t="s">
        <v>12</v>
      </c>
      <c r="D7" s="3" t="s">
        <v>13</v>
      </c>
      <c r="E7" s="3" t="s">
        <v>43</v>
      </c>
      <c r="F7">
        <v>1250</v>
      </c>
      <c r="G7" s="1">
        <v>7</v>
      </c>
      <c r="H7" s="4">
        <f>G7*F7</f>
        <v>8750</v>
      </c>
      <c r="I7" s="3" t="s">
        <v>53</v>
      </c>
      <c r="J7" s="3" t="s">
        <v>49</v>
      </c>
      <c r="K7" t="s">
        <v>93</v>
      </c>
      <c r="L7" t="s">
        <v>126</v>
      </c>
    </row>
    <row r="8" spans="1:12" hidden="1" x14ac:dyDescent="0.25">
      <c r="A8" s="6">
        <v>46069</v>
      </c>
      <c r="B8" s="3" t="s">
        <v>26</v>
      </c>
      <c r="C8" s="3" t="s">
        <v>18</v>
      </c>
      <c r="D8" s="3" t="s">
        <v>19</v>
      </c>
      <c r="E8" s="3" t="s">
        <v>42</v>
      </c>
      <c r="F8">
        <v>1430.75</v>
      </c>
      <c r="G8" s="1">
        <v>4</v>
      </c>
      <c r="H8" s="4">
        <f>G8*F8</f>
        <v>5723</v>
      </c>
      <c r="I8" s="3" t="s">
        <v>52</v>
      </c>
      <c r="J8" s="3" t="s">
        <v>49</v>
      </c>
      <c r="K8" t="s">
        <v>95</v>
      </c>
      <c r="L8" t="s">
        <v>126</v>
      </c>
    </row>
    <row r="9" spans="1:12" hidden="1" x14ac:dyDescent="0.25">
      <c r="A9" s="6">
        <v>46064</v>
      </c>
      <c r="B9" s="3" t="s">
        <v>29</v>
      </c>
      <c r="C9" s="3" t="s">
        <v>9</v>
      </c>
      <c r="D9" s="3" t="s">
        <v>10</v>
      </c>
      <c r="E9" s="3" t="s">
        <v>43</v>
      </c>
      <c r="F9">
        <v>995</v>
      </c>
      <c r="G9" s="1">
        <v>6</v>
      </c>
      <c r="H9" s="4">
        <f>G9*F9</f>
        <v>5970</v>
      </c>
      <c r="I9" s="3" t="s">
        <v>52</v>
      </c>
      <c r="J9" s="3" t="s">
        <v>49</v>
      </c>
      <c r="K9" t="s">
        <v>93</v>
      </c>
      <c r="L9" t="s">
        <v>130</v>
      </c>
    </row>
    <row r="10" spans="1:12" x14ac:dyDescent="0.25">
      <c r="A10" s="6">
        <v>45750</v>
      </c>
      <c r="B10" s="3" t="s">
        <v>80</v>
      </c>
      <c r="C10" s="3" t="s">
        <v>12</v>
      </c>
      <c r="D10" s="3" t="s">
        <v>13</v>
      </c>
      <c r="E10" s="3" t="s">
        <v>43</v>
      </c>
      <c r="F10">
        <v>1250</v>
      </c>
      <c r="G10" s="1">
        <v>8</v>
      </c>
      <c r="H10" s="4">
        <f>G10*F10</f>
        <v>10000</v>
      </c>
      <c r="I10" s="3" t="s">
        <v>53</v>
      </c>
      <c r="J10" s="3" t="s">
        <v>48</v>
      </c>
      <c r="L10" t="s">
        <v>126</v>
      </c>
    </row>
    <row r="11" spans="1:12" x14ac:dyDescent="0.25">
      <c r="A11" s="6">
        <v>45720</v>
      </c>
      <c r="B11" s="3" t="s">
        <v>86</v>
      </c>
      <c r="C11" s="3" t="s">
        <v>12</v>
      </c>
      <c r="D11" s="3" t="s">
        <v>13</v>
      </c>
      <c r="E11" s="3" t="s">
        <v>43</v>
      </c>
      <c r="F11">
        <v>1250</v>
      </c>
      <c r="G11" s="1">
        <v>12</v>
      </c>
      <c r="H11" s="4">
        <f>G11*F11</f>
        <v>15000</v>
      </c>
      <c r="I11" s="3" t="s">
        <v>52</v>
      </c>
      <c r="J11" s="3" t="s">
        <v>49</v>
      </c>
      <c r="K11" t="s">
        <v>93</v>
      </c>
      <c r="L11" t="s">
        <v>134</v>
      </c>
    </row>
    <row r="12" spans="1:12" x14ac:dyDescent="0.25">
      <c r="A12" s="6">
        <v>46097</v>
      </c>
      <c r="B12" s="3" t="s">
        <v>11</v>
      </c>
      <c r="C12" s="3" t="s">
        <v>15</v>
      </c>
      <c r="D12" s="3" t="s">
        <v>16</v>
      </c>
      <c r="E12" s="3" t="s">
        <v>0</v>
      </c>
      <c r="F12">
        <v>1380</v>
      </c>
      <c r="G12" s="1">
        <v>11</v>
      </c>
      <c r="H12" s="4">
        <f>G12*F12</f>
        <v>15180</v>
      </c>
      <c r="I12" s="3" t="s">
        <v>53</v>
      </c>
      <c r="J12" s="3" t="s">
        <v>49</v>
      </c>
      <c r="K12" t="s">
        <v>96</v>
      </c>
      <c r="L12" t="s">
        <v>133</v>
      </c>
    </row>
    <row r="13" spans="1:12" x14ac:dyDescent="0.25">
      <c r="A13" s="6">
        <v>46099</v>
      </c>
      <c r="B13" s="3" t="s">
        <v>8</v>
      </c>
      <c r="C13" s="3" t="s">
        <v>21</v>
      </c>
      <c r="D13" s="3" t="s">
        <v>22</v>
      </c>
      <c r="E13" s="3" t="s">
        <v>42</v>
      </c>
      <c r="F13">
        <v>1540.35</v>
      </c>
      <c r="G13" s="1">
        <v>7</v>
      </c>
      <c r="H13" s="4">
        <f>G13*F13</f>
        <v>10782.449999999999</v>
      </c>
      <c r="I13" s="3" t="s">
        <v>53</v>
      </c>
      <c r="J13" s="3" t="s">
        <v>48</v>
      </c>
      <c r="L13" t="s">
        <v>131</v>
      </c>
    </row>
    <row r="14" spans="1:12" x14ac:dyDescent="0.25">
      <c r="A14" s="6">
        <v>46090</v>
      </c>
      <c r="B14" s="3" t="s">
        <v>17</v>
      </c>
      <c r="C14" s="3" t="s">
        <v>24</v>
      </c>
      <c r="D14" s="3" t="s">
        <v>25</v>
      </c>
      <c r="E14" s="3" t="s">
        <v>0</v>
      </c>
      <c r="F14">
        <v>1610.9</v>
      </c>
      <c r="G14" s="1">
        <v>8</v>
      </c>
      <c r="H14" s="4">
        <f>G14*F14</f>
        <v>12887.2</v>
      </c>
      <c r="I14" s="3" t="s">
        <v>52</v>
      </c>
      <c r="J14" s="3" t="s">
        <v>49</v>
      </c>
      <c r="K14" t="s">
        <v>95</v>
      </c>
      <c r="L14" t="s">
        <v>134</v>
      </c>
    </row>
    <row r="15" spans="1:12" x14ac:dyDescent="0.25">
      <c r="A15" s="6">
        <v>46034</v>
      </c>
      <c r="B15" s="3" t="s">
        <v>40</v>
      </c>
      <c r="C15" s="3" t="s">
        <v>24</v>
      </c>
      <c r="D15" s="3" t="s">
        <v>25</v>
      </c>
      <c r="E15" s="3" t="s">
        <v>0</v>
      </c>
      <c r="F15">
        <v>1610.9</v>
      </c>
      <c r="G15" s="1">
        <v>6</v>
      </c>
      <c r="H15" s="4">
        <f>G15*F15</f>
        <v>9665.4000000000015</v>
      </c>
      <c r="I15" s="3" t="s">
        <v>52</v>
      </c>
      <c r="J15" s="3" t="s">
        <v>49</v>
      </c>
      <c r="K15" t="s">
        <v>94</v>
      </c>
      <c r="L15" t="s">
        <v>128</v>
      </c>
    </row>
    <row r="16" spans="1:12" hidden="1" x14ac:dyDescent="0.25">
      <c r="A16" s="6">
        <v>46009</v>
      </c>
      <c r="B16" s="3" t="s">
        <v>57</v>
      </c>
      <c r="C16" s="3" t="s">
        <v>18</v>
      </c>
      <c r="D16" s="3" t="s">
        <v>19</v>
      </c>
      <c r="E16" s="3" t="s">
        <v>42</v>
      </c>
      <c r="F16">
        <v>1430.75</v>
      </c>
      <c r="G16" s="1">
        <v>1</v>
      </c>
      <c r="H16" s="4">
        <f>G16*F16</f>
        <v>1430.75</v>
      </c>
      <c r="I16" s="3" t="s">
        <v>52</v>
      </c>
      <c r="J16" s="3" t="s">
        <v>50</v>
      </c>
      <c r="L16" t="s">
        <v>137</v>
      </c>
    </row>
    <row r="17" spans="1:12" x14ac:dyDescent="0.25">
      <c r="A17" s="6">
        <v>45820</v>
      </c>
      <c r="B17" s="3" t="s">
        <v>88</v>
      </c>
      <c r="C17" s="3" t="s">
        <v>24</v>
      </c>
      <c r="D17" s="3" t="s">
        <v>25</v>
      </c>
      <c r="E17" s="3" t="s">
        <v>0</v>
      </c>
      <c r="F17">
        <v>1610.9</v>
      </c>
      <c r="G17" s="1">
        <v>6</v>
      </c>
      <c r="H17" s="4">
        <f>G17*F17</f>
        <v>9665.4000000000015</v>
      </c>
      <c r="I17" s="3" t="s">
        <v>52</v>
      </c>
      <c r="J17" s="3" t="s">
        <v>49</v>
      </c>
      <c r="K17" t="s">
        <v>94</v>
      </c>
      <c r="L17" t="s">
        <v>126</v>
      </c>
    </row>
    <row r="18" spans="1:12" hidden="1" x14ac:dyDescent="0.25">
      <c r="A18" s="6">
        <v>46003</v>
      </c>
      <c r="B18" s="3" t="s">
        <v>59</v>
      </c>
      <c r="C18" s="3" t="s">
        <v>18</v>
      </c>
      <c r="D18" s="3" t="s">
        <v>19</v>
      </c>
      <c r="E18" s="3" t="s">
        <v>42</v>
      </c>
      <c r="F18">
        <v>1430.75</v>
      </c>
      <c r="G18" s="1">
        <v>2</v>
      </c>
      <c r="H18" s="4">
        <f>G18*F18</f>
        <v>2861.5</v>
      </c>
      <c r="I18" s="3" t="s">
        <v>52</v>
      </c>
      <c r="J18" s="3" t="s">
        <v>49</v>
      </c>
      <c r="K18" t="s">
        <v>94</v>
      </c>
      <c r="L18" t="s">
        <v>134</v>
      </c>
    </row>
    <row r="19" spans="1:12" hidden="1" x14ac:dyDescent="0.25">
      <c r="A19" s="6">
        <v>46001</v>
      </c>
      <c r="B19" s="3" t="s">
        <v>60</v>
      </c>
      <c r="C19" s="3" t="s">
        <v>9</v>
      </c>
      <c r="D19" s="3" t="s">
        <v>10</v>
      </c>
      <c r="E19" s="3" t="s">
        <v>43</v>
      </c>
      <c r="F19">
        <v>995</v>
      </c>
      <c r="G19" s="1">
        <v>7</v>
      </c>
      <c r="H19" s="4">
        <f>G19*F19</f>
        <v>6965</v>
      </c>
      <c r="I19" s="3" t="s">
        <v>53</v>
      </c>
      <c r="J19" s="3" t="s">
        <v>48</v>
      </c>
      <c r="L19" t="s">
        <v>130</v>
      </c>
    </row>
    <row r="20" spans="1:12" x14ac:dyDescent="0.25">
      <c r="A20" s="6">
        <v>45979</v>
      </c>
      <c r="B20" s="3" t="s">
        <v>63</v>
      </c>
      <c r="C20" s="3" t="s">
        <v>27</v>
      </c>
      <c r="D20" s="3" t="s">
        <v>28</v>
      </c>
      <c r="E20" s="3" t="s">
        <v>2</v>
      </c>
      <c r="F20">
        <v>1720.4</v>
      </c>
      <c r="G20" s="1">
        <v>3</v>
      </c>
      <c r="H20" s="4">
        <f>G20*F20</f>
        <v>5161.2000000000007</v>
      </c>
      <c r="I20" s="3" t="s">
        <v>53</v>
      </c>
      <c r="J20" s="3" t="s">
        <v>49</v>
      </c>
      <c r="K20" t="s">
        <v>93</v>
      </c>
      <c r="L20" t="s">
        <v>137</v>
      </c>
    </row>
    <row r="21" spans="1:12" x14ac:dyDescent="0.25">
      <c r="A21" s="6">
        <v>45926</v>
      </c>
      <c r="B21" s="3" t="s">
        <v>71</v>
      </c>
      <c r="C21" s="3" t="s">
        <v>27</v>
      </c>
      <c r="D21" s="3" t="s">
        <v>28</v>
      </c>
      <c r="E21" s="3" t="s">
        <v>2</v>
      </c>
      <c r="F21">
        <v>1720.4</v>
      </c>
      <c r="G21" s="1">
        <v>11</v>
      </c>
      <c r="H21" s="4">
        <f>G21*F21</f>
        <v>18924.400000000001</v>
      </c>
      <c r="I21" s="3" t="s">
        <v>52</v>
      </c>
      <c r="J21" s="3" t="s">
        <v>49</v>
      </c>
      <c r="K21" t="s">
        <v>93</v>
      </c>
      <c r="L21" t="s">
        <v>133</v>
      </c>
    </row>
    <row r="22" spans="1:12" x14ac:dyDescent="0.25">
      <c r="A22" s="6">
        <v>45834</v>
      </c>
      <c r="B22" s="3" t="s">
        <v>86</v>
      </c>
      <c r="C22" s="3" t="s">
        <v>27</v>
      </c>
      <c r="D22" s="3" t="s">
        <v>28</v>
      </c>
      <c r="E22" s="3" t="s">
        <v>2</v>
      </c>
      <c r="F22">
        <v>1720.4</v>
      </c>
      <c r="G22" s="1">
        <v>7</v>
      </c>
      <c r="H22" s="4">
        <f>G22*F22</f>
        <v>12042.800000000001</v>
      </c>
      <c r="I22" s="3" t="s">
        <v>53</v>
      </c>
      <c r="J22" s="3" t="s">
        <v>49</v>
      </c>
      <c r="K22" t="s">
        <v>96</v>
      </c>
      <c r="L22" t="s">
        <v>126</v>
      </c>
    </row>
    <row r="23" spans="1:12" hidden="1" x14ac:dyDescent="0.25">
      <c r="A23" s="6">
        <v>45975</v>
      </c>
      <c r="B23" s="3" t="s">
        <v>64</v>
      </c>
      <c r="C23" s="3" t="s">
        <v>9</v>
      </c>
      <c r="D23" s="3" t="s">
        <v>10</v>
      </c>
      <c r="E23" s="3" t="s">
        <v>43</v>
      </c>
      <c r="F23">
        <v>995</v>
      </c>
      <c r="G23" s="1">
        <v>10</v>
      </c>
      <c r="H23" s="4">
        <f>G23*F23</f>
        <v>9950</v>
      </c>
      <c r="I23" s="3" t="s">
        <v>53</v>
      </c>
      <c r="J23" s="3" t="s">
        <v>49</v>
      </c>
      <c r="K23" t="s">
        <v>94</v>
      </c>
      <c r="L23" t="s">
        <v>130</v>
      </c>
    </row>
    <row r="24" spans="1:12" x14ac:dyDescent="0.25">
      <c r="A24" s="6">
        <v>45778</v>
      </c>
      <c r="B24" s="3" t="s">
        <v>73</v>
      </c>
      <c r="C24" s="3" t="s">
        <v>27</v>
      </c>
      <c r="D24" s="3" t="s">
        <v>28</v>
      </c>
      <c r="E24" s="3" t="s">
        <v>2</v>
      </c>
      <c r="F24">
        <v>1720.4</v>
      </c>
      <c r="G24" s="1">
        <v>9</v>
      </c>
      <c r="H24" s="4">
        <f>G24*F24</f>
        <v>15483.6</v>
      </c>
      <c r="I24" s="3" t="s">
        <v>52</v>
      </c>
      <c r="J24" s="3" t="s">
        <v>50</v>
      </c>
      <c r="L24" t="s">
        <v>133</v>
      </c>
    </row>
    <row r="25" spans="1:12" x14ac:dyDescent="0.25">
      <c r="A25" s="6">
        <v>45713</v>
      </c>
      <c r="B25" s="3" t="s">
        <v>88</v>
      </c>
      <c r="C25" s="3" t="s">
        <v>27</v>
      </c>
      <c r="D25" s="3" t="s">
        <v>28</v>
      </c>
      <c r="E25" s="3" t="s">
        <v>2</v>
      </c>
      <c r="F25">
        <v>1720.4</v>
      </c>
      <c r="G25" s="1">
        <v>1</v>
      </c>
      <c r="H25" s="4">
        <f>G25*F25</f>
        <v>1720.4</v>
      </c>
      <c r="I25" s="3" t="s">
        <v>52</v>
      </c>
      <c r="J25" s="3" t="s">
        <v>48</v>
      </c>
      <c r="L25" t="s">
        <v>133</v>
      </c>
    </row>
    <row r="26" spans="1:12" hidden="1" x14ac:dyDescent="0.25">
      <c r="A26" s="6">
        <v>45952</v>
      </c>
      <c r="B26" s="3" t="s">
        <v>67</v>
      </c>
      <c r="C26" s="3" t="s">
        <v>18</v>
      </c>
      <c r="D26" s="3" t="s">
        <v>19</v>
      </c>
      <c r="E26" s="3" t="s">
        <v>42</v>
      </c>
      <c r="F26">
        <v>1430.75</v>
      </c>
      <c r="G26" s="1">
        <v>7</v>
      </c>
      <c r="H26" s="4">
        <f>G26*F26</f>
        <v>10015.25</v>
      </c>
      <c r="I26" s="3" t="s">
        <v>53</v>
      </c>
      <c r="J26" s="3" t="s">
        <v>48</v>
      </c>
      <c r="L26" t="s">
        <v>128</v>
      </c>
    </row>
    <row r="27" spans="1:12" hidden="1" x14ac:dyDescent="0.25">
      <c r="A27" s="6">
        <v>45950</v>
      </c>
      <c r="B27" s="3" t="s">
        <v>68</v>
      </c>
      <c r="C27" s="3" t="s">
        <v>9</v>
      </c>
      <c r="D27" s="3" t="s">
        <v>10</v>
      </c>
      <c r="E27" s="3" t="s">
        <v>43</v>
      </c>
      <c r="F27">
        <v>995</v>
      </c>
      <c r="G27" s="1">
        <v>1</v>
      </c>
      <c r="H27" s="4">
        <f>G27*F27</f>
        <v>995</v>
      </c>
      <c r="I27" s="3" t="s">
        <v>52</v>
      </c>
      <c r="J27" s="3" t="s">
        <v>49</v>
      </c>
      <c r="K27" t="s">
        <v>96</v>
      </c>
      <c r="L27" t="s">
        <v>137</v>
      </c>
    </row>
    <row r="28" spans="1:12" x14ac:dyDescent="0.25">
      <c r="A28" s="6">
        <v>45685</v>
      </c>
      <c r="B28" s="3" t="s">
        <v>85</v>
      </c>
      <c r="C28" s="3" t="s">
        <v>27</v>
      </c>
      <c r="D28" s="3" t="s">
        <v>28</v>
      </c>
      <c r="E28" s="3" t="s">
        <v>2</v>
      </c>
      <c r="F28">
        <v>1720.4</v>
      </c>
      <c r="G28" s="1">
        <v>7</v>
      </c>
      <c r="H28" s="4">
        <f>G28*F28</f>
        <v>12042.800000000001</v>
      </c>
      <c r="I28" s="3" t="s">
        <v>52</v>
      </c>
      <c r="J28" s="3" t="s">
        <v>48</v>
      </c>
      <c r="L28" t="s">
        <v>126</v>
      </c>
    </row>
    <row r="29" spans="1:12" x14ac:dyDescent="0.25">
      <c r="A29" s="6">
        <v>46083</v>
      </c>
      <c r="B29" s="3" t="s">
        <v>20</v>
      </c>
      <c r="C29" s="3" t="s">
        <v>30</v>
      </c>
      <c r="D29" s="3" t="s">
        <v>31</v>
      </c>
      <c r="E29" s="3" t="s">
        <v>2</v>
      </c>
      <c r="F29">
        <v>1955.8</v>
      </c>
      <c r="G29" s="1">
        <v>5</v>
      </c>
      <c r="H29" s="4">
        <f>G29*F29</f>
        <v>9779</v>
      </c>
      <c r="I29" s="3" t="s">
        <v>52</v>
      </c>
      <c r="J29" s="3" t="s">
        <v>50</v>
      </c>
      <c r="L29" t="s">
        <v>133</v>
      </c>
    </row>
    <row r="30" spans="1:12" x14ac:dyDescent="0.25">
      <c r="A30" s="6">
        <v>46022</v>
      </c>
      <c r="B30" s="3" t="s">
        <v>55</v>
      </c>
      <c r="C30" s="3" t="s">
        <v>30</v>
      </c>
      <c r="D30" s="3" t="s">
        <v>31</v>
      </c>
      <c r="E30" s="3" t="s">
        <v>2</v>
      </c>
      <c r="F30">
        <v>1955.8</v>
      </c>
      <c r="G30" s="1">
        <v>2</v>
      </c>
      <c r="H30" s="4">
        <f>G30*F30</f>
        <v>3911.6</v>
      </c>
      <c r="I30" s="3" t="s">
        <v>52</v>
      </c>
      <c r="J30" s="3" t="s">
        <v>48</v>
      </c>
      <c r="L30" t="s">
        <v>137</v>
      </c>
    </row>
    <row r="31" spans="1:12" hidden="1" x14ac:dyDescent="0.25">
      <c r="A31" s="6">
        <v>45922</v>
      </c>
      <c r="B31" s="3" t="s">
        <v>72</v>
      </c>
      <c r="C31" s="3" t="s">
        <v>9</v>
      </c>
      <c r="D31" s="3" t="s">
        <v>10</v>
      </c>
      <c r="E31" s="3" t="s">
        <v>43</v>
      </c>
      <c r="F31">
        <v>995</v>
      </c>
      <c r="G31" s="1">
        <v>2</v>
      </c>
      <c r="H31" s="4">
        <f>G31*F31</f>
        <v>1990</v>
      </c>
      <c r="I31" s="3" t="s">
        <v>52</v>
      </c>
      <c r="J31" s="3" t="s">
        <v>49</v>
      </c>
      <c r="K31" t="s">
        <v>93</v>
      </c>
      <c r="L31" t="s">
        <v>130</v>
      </c>
    </row>
    <row r="32" spans="1:12" hidden="1" x14ac:dyDescent="0.25">
      <c r="A32" s="6">
        <v>45915</v>
      </c>
      <c r="B32" s="3" t="s">
        <v>73</v>
      </c>
      <c r="C32" s="3" t="s">
        <v>9</v>
      </c>
      <c r="D32" s="3" t="s">
        <v>10</v>
      </c>
      <c r="E32" s="3" t="s">
        <v>43</v>
      </c>
      <c r="F32">
        <v>995</v>
      </c>
      <c r="G32" s="1">
        <v>7</v>
      </c>
      <c r="H32" s="4">
        <f>G32*F32</f>
        <v>6965</v>
      </c>
      <c r="I32" s="3" t="s">
        <v>52</v>
      </c>
      <c r="J32" s="3" t="s">
        <v>49</v>
      </c>
      <c r="K32" t="s">
        <v>94</v>
      </c>
      <c r="L32" t="s">
        <v>130</v>
      </c>
    </row>
    <row r="33" spans="1:12" x14ac:dyDescent="0.25">
      <c r="A33" s="6">
        <v>45810</v>
      </c>
      <c r="B33" s="3" t="s">
        <v>89</v>
      </c>
      <c r="C33" s="3" t="s">
        <v>30</v>
      </c>
      <c r="D33" s="3" t="s">
        <v>31</v>
      </c>
      <c r="E33" s="3" t="s">
        <v>2</v>
      </c>
      <c r="F33">
        <v>1955.8</v>
      </c>
      <c r="G33" s="1">
        <v>7</v>
      </c>
      <c r="H33" s="4">
        <f>G33*F33</f>
        <v>13690.6</v>
      </c>
      <c r="I33" s="3" t="s">
        <v>52</v>
      </c>
      <c r="J33" s="3" t="s">
        <v>48</v>
      </c>
      <c r="L33" t="s">
        <v>131</v>
      </c>
    </row>
    <row r="34" spans="1:12" hidden="1" x14ac:dyDescent="0.25">
      <c r="A34" s="6">
        <v>45897</v>
      </c>
      <c r="B34" s="3" t="s">
        <v>75</v>
      </c>
      <c r="C34" s="3" t="s">
        <v>18</v>
      </c>
      <c r="D34" s="3" t="s">
        <v>19</v>
      </c>
      <c r="E34" s="3" t="s">
        <v>42</v>
      </c>
      <c r="F34">
        <v>1430.75</v>
      </c>
      <c r="G34" s="1">
        <v>4</v>
      </c>
      <c r="H34" s="4">
        <f>G34*F34</f>
        <v>5723</v>
      </c>
      <c r="I34" s="3" t="s">
        <v>52</v>
      </c>
      <c r="J34" s="3" t="s">
        <v>49</v>
      </c>
      <c r="K34" t="s">
        <v>95</v>
      </c>
      <c r="L34" t="s">
        <v>128</v>
      </c>
    </row>
    <row r="35" spans="1:12" hidden="1" x14ac:dyDescent="0.25">
      <c r="A35" s="6">
        <v>45896</v>
      </c>
      <c r="B35" s="3" t="s">
        <v>76</v>
      </c>
      <c r="C35" s="3" t="s">
        <v>9</v>
      </c>
      <c r="D35" s="3" t="s">
        <v>10</v>
      </c>
      <c r="E35" s="3" t="s">
        <v>43</v>
      </c>
      <c r="F35">
        <v>995</v>
      </c>
      <c r="G35" s="1">
        <v>1</v>
      </c>
      <c r="H35" s="4">
        <f>G35*F35</f>
        <v>995</v>
      </c>
      <c r="I35" s="3" t="s">
        <v>52</v>
      </c>
      <c r="J35" s="3" t="s">
        <v>49</v>
      </c>
      <c r="K35" t="s">
        <v>93</v>
      </c>
      <c r="L35" t="s">
        <v>130</v>
      </c>
    </row>
    <row r="36" spans="1:12" x14ac:dyDescent="0.25">
      <c r="A36" s="6">
        <v>46094</v>
      </c>
      <c r="B36" s="3" t="s">
        <v>14</v>
      </c>
      <c r="C36" s="3" t="s">
        <v>33</v>
      </c>
      <c r="D36" s="3" t="s">
        <v>34</v>
      </c>
      <c r="E36" s="3" t="s">
        <v>2</v>
      </c>
      <c r="F36">
        <v>1980</v>
      </c>
      <c r="G36" s="1">
        <v>3</v>
      </c>
      <c r="H36" s="4">
        <f>G36*F36</f>
        <v>5940</v>
      </c>
      <c r="I36" s="3" t="s">
        <v>52</v>
      </c>
      <c r="J36" s="3" t="s">
        <v>49</v>
      </c>
      <c r="K36" t="s">
        <v>96</v>
      </c>
      <c r="L36" t="s">
        <v>134</v>
      </c>
    </row>
    <row r="37" spans="1:12" hidden="1" x14ac:dyDescent="0.25">
      <c r="A37" s="6">
        <v>45882</v>
      </c>
      <c r="B37" s="3" t="s">
        <v>78</v>
      </c>
      <c r="C37" s="3" t="s">
        <v>18</v>
      </c>
      <c r="D37" s="3" t="s">
        <v>19</v>
      </c>
      <c r="E37" s="3" t="s">
        <v>42</v>
      </c>
      <c r="F37">
        <v>1430.75</v>
      </c>
      <c r="G37" s="1">
        <v>4</v>
      </c>
      <c r="H37" s="4">
        <f>G37*F37</f>
        <v>5723</v>
      </c>
      <c r="I37" s="3" t="s">
        <v>52</v>
      </c>
      <c r="J37" s="3" t="s">
        <v>49</v>
      </c>
      <c r="K37" t="s">
        <v>93</v>
      </c>
      <c r="L37" t="s">
        <v>130</v>
      </c>
    </row>
    <row r="38" spans="1:12" hidden="1" x14ac:dyDescent="0.25">
      <c r="A38" s="6">
        <v>45881</v>
      </c>
      <c r="B38" s="3" t="s">
        <v>79</v>
      </c>
      <c r="C38" s="3" t="s">
        <v>9</v>
      </c>
      <c r="D38" s="3" t="s">
        <v>10</v>
      </c>
      <c r="E38" s="3" t="s">
        <v>43</v>
      </c>
      <c r="F38">
        <v>995</v>
      </c>
      <c r="G38" s="1">
        <v>10</v>
      </c>
      <c r="H38" s="4">
        <f>G38*F38</f>
        <v>9950</v>
      </c>
      <c r="I38" s="3" t="s">
        <v>52</v>
      </c>
      <c r="J38" s="3" t="s">
        <v>49</v>
      </c>
      <c r="K38" t="s">
        <v>93</v>
      </c>
      <c r="L38" t="s">
        <v>137</v>
      </c>
    </row>
    <row r="39" spans="1:12" x14ac:dyDescent="0.25">
      <c r="A39" s="6">
        <v>46041</v>
      </c>
      <c r="B39" s="3" t="s">
        <v>38</v>
      </c>
      <c r="C39" s="3" t="s">
        <v>33</v>
      </c>
      <c r="D39" s="3" t="s">
        <v>34</v>
      </c>
      <c r="E39" s="3" t="s">
        <v>2</v>
      </c>
      <c r="F39">
        <v>1980</v>
      </c>
      <c r="G39" s="1">
        <v>7</v>
      </c>
      <c r="H39" s="4">
        <f>G39*F39</f>
        <v>13860</v>
      </c>
      <c r="I39" s="3" t="s">
        <v>52</v>
      </c>
      <c r="J39" s="3" t="s">
        <v>49</v>
      </c>
      <c r="K39" t="s">
        <v>94</v>
      </c>
      <c r="L39" t="s">
        <v>133</v>
      </c>
    </row>
    <row r="40" spans="1:12" x14ac:dyDescent="0.25">
      <c r="A40" s="6">
        <v>46057</v>
      </c>
      <c r="B40" s="3" t="s">
        <v>32</v>
      </c>
      <c r="C40" s="3" t="s">
        <v>36</v>
      </c>
      <c r="D40" s="3" t="s">
        <v>37</v>
      </c>
      <c r="E40" s="3" t="s">
        <v>42</v>
      </c>
      <c r="F40">
        <v>2210</v>
      </c>
      <c r="G40" s="1">
        <v>1</v>
      </c>
      <c r="H40" s="4">
        <f>G40*F40</f>
        <v>2210</v>
      </c>
      <c r="I40" s="3" t="s">
        <v>53</v>
      </c>
      <c r="J40" s="3" t="s">
        <v>49</v>
      </c>
      <c r="K40" t="s">
        <v>95</v>
      </c>
      <c r="L40" t="s">
        <v>131</v>
      </c>
    </row>
    <row r="41" spans="1:12" hidden="1" x14ac:dyDescent="0.25">
      <c r="A41" s="6">
        <v>45859</v>
      </c>
      <c r="B41" s="3" t="s">
        <v>82</v>
      </c>
      <c r="C41" s="3" t="s">
        <v>18</v>
      </c>
      <c r="D41" s="3" t="s">
        <v>19</v>
      </c>
      <c r="E41" s="3" t="s">
        <v>42</v>
      </c>
      <c r="F41">
        <v>1430.75</v>
      </c>
      <c r="G41" s="1">
        <v>2</v>
      </c>
      <c r="H41" s="4">
        <f>G41*F41</f>
        <v>2861.5</v>
      </c>
      <c r="I41" s="3" t="s">
        <v>52</v>
      </c>
      <c r="J41" s="3" t="s">
        <v>49</v>
      </c>
      <c r="K41" t="s">
        <v>96</v>
      </c>
      <c r="L41" t="s">
        <v>126</v>
      </c>
    </row>
    <row r="42" spans="1:12" hidden="1" x14ac:dyDescent="0.25">
      <c r="A42" s="6">
        <v>45856</v>
      </c>
      <c r="B42" s="3" t="s">
        <v>83</v>
      </c>
      <c r="C42" s="3" t="s">
        <v>9</v>
      </c>
      <c r="D42" s="3" t="s">
        <v>10</v>
      </c>
      <c r="E42" s="3" t="s">
        <v>43</v>
      </c>
      <c r="F42">
        <v>995</v>
      </c>
      <c r="G42" s="1">
        <v>2</v>
      </c>
      <c r="H42" s="4">
        <f>G42*F42</f>
        <v>1990</v>
      </c>
      <c r="I42" s="3" t="s">
        <v>52</v>
      </c>
      <c r="J42" s="3" t="s">
        <v>49</v>
      </c>
      <c r="K42" t="s">
        <v>96</v>
      </c>
      <c r="L42" t="s">
        <v>133</v>
      </c>
    </row>
    <row r="43" spans="1:12" x14ac:dyDescent="0.25">
      <c r="A43" s="6">
        <v>45994</v>
      </c>
      <c r="B43" s="3" t="s">
        <v>61</v>
      </c>
      <c r="C43" s="3" t="s">
        <v>36</v>
      </c>
      <c r="D43" s="3" t="s">
        <v>37</v>
      </c>
      <c r="E43" s="3" t="s">
        <v>42</v>
      </c>
      <c r="F43">
        <v>2210</v>
      </c>
      <c r="G43" s="1">
        <v>4</v>
      </c>
      <c r="H43" s="4">
        <f>G43*F43</f>
        <v>8840</v>
      </c>
      <c r="I43" s="3" t="s">
        <v>52</v>
      </c>
      <c r="J43" s="3" t="s">
        <v>49</v>
      </c>
      <c r="K43" t="s">
        <v>93</v>
      </c>
      <c r="L43" t="s">
        <v>130</v>
      </c>
    </row>
    <row r="44" spans="1:12" x14ac:dyDescent="0.25">
      <c r="A44" s="6">
        <v>45945</v>
      </c>
      <c r="B44" s="3" t="s">
        <v>69</v>
      </c>
      <c r="C44" s="3" t="s">
        <v>36</v>
      </c>
      <c r="D44" s="3" t="s">
        <v>37</v>
      </c>
      <c r="E44" s="3" t="s">
        <v>42</v>
      </c>
      <c r="F44">
        <v>2210</v>
      </c>
      <c r="G44" s="1">
        <v>3</v>
      </c>
      <c r="H44" s="4">
        <f>G44*F44</f>
        <v>6630</v>
      </c>
      <c r="I44" s="3" t="s">
        <v>53</v>
      </c>
      <c r="J44" s="3" t="s">
        <v>49</v>
      </c>
      <c r="K44" t="s">
        <v>95</v>
      </c>
      <c r="L44" t="s">
        <v>137</v>
      </c>
    </row>
    <row r="45" spans="1:12" x14ac:dyDescent="0.25">
      <c r="A45" s="6">
        <v>45875</v>
      </c>
      <c r="B45" s="3" t="s">
        <v>80</v>
      </c>
      <c r="C45" s="3" t="s">
        <v>36</v>
      </c>
      <c r="D45" s="3" t="s">
        <v>37</v>
      </c>
      <c r="E45" s="3" t="s">
        <v>42</v>
      </c>
      <c r="F45">
        <v>2210</v>
      </c>
      <c r="G45" s="1">
        <v>6</v>
      </c>
      <c r="H45" s="4">
        <f>G45*F45</f>
        <v>13260</v>
      </c>
      <c r="I45" s="3" t="s">
        <v>53</v>
      </c>
      <c r="J45" s="3" t="s">
        <v>49</v>
      </c>
      <c r="K45" t="s">
        <v>96</v>
      </c>
      <c r="L45" t="s">
        <v>133</v>
      </c>
    </row>
    <row r="46" spans="1:12" hidden="1" x14ac:dyDescent="0.25">
      <c r="A46" s="6">
        <v>45833</v>
      </c>
      <c r="B46" s="3" t="s">
        <v>87</v>
      </c>
      <c r="C46" s="3" t="s">
        <v>9</v>
      </c>
      <c r="D46" s="3" t="s">
        <v>10</v>
      </c>
      <c r="E46" s="3" t="s">
        <v>43</v>
      </c>
      <c r="F46">
        <v>995</v>
      </c>
      <c r="G46" s="1">
        <v>5</v>
      </c>
      <c r="H46" s="4">
        <f>G46*F46</f>
        <v>4975</v>
      </c>
      <c r="I46" s="3" t="s">
        <v>52</v>
      </c>
      <c r="J46" s="3" t="s">
        <v>49</v>
      </c>
      <c r="K46" t="s">
        <v>95</v>
      </c>
      <c r="L46" t="s">
        <v>134</v>
      </c>
    </row>
    <row r="47" spans="1:12" x14ac:dyDescent="0.25">
      <c r="A47" s="6">
        <v>45852</v>
      </c>
      <c r="B47" s="3" t="s">
        <v>84</v>
      </c>
      <c r="C47" s="3" t="s">
        <v>36</v>
      </c>
      <c r="D47" s="3" t="s">
        <v>37</v>
      </c>
      <c r="E47" s="3" t="s">
        <v>42</v>
      </c>
      <c r="F47">
        <v>2210</v>
      </c>
      <c r="G47" s="1">
        <v>6</v>
      </c>
      <c r="H47" s="4">
        <f>G47*F47</f>
        <v>13260</v>
      </c>
      <c r="I47" s="3" t="s">
        <v>53</v>
      </c>
      <c r="J47" s="3" t="s">
        <v>49</v>
      </c>
      <c r="K47" t="s">
        <v>94</v>
      </c>
      <c r="L47" t="s">
        <v>133</v>
      </c>
    </row>
    <row r="48" spans="1:12" x14ac:dyDescent="0.25">
      <c r="A48" s="6">
        <v>45789</v>
      </c>
      <c r="B48" s="3" t="s">
        <v>71</v>
      </c>
      <c r="C48" s="3" t="s">
        <v>36</v>
      </c>
      <c r="D48" s="3" t="s">
        <v>37</v>
      </c>
      <c r="E48" s="3" t="s">
        <v>42</v>
      </c>
      <c r="F48">
        <v>2210</v>
      </c>
      <c r="G48" s="1">
        <v>12</v>
      </c>
      <c r="H48" s="4">
        <f>G48*F48</f>
        <v>26520</v>
      </c>
      <c r="I48" s="3" t="s">
        <v>52</v>
      </c>
      <c r="J48" s="3" t="s">
        <v>49</v>
      </c>
      <c r="K48" t="s">
        <v>94</v>
      </c>
      <c r="L48" t="s">
        <v>126</v>
      </c>
    </row>
    <row r="49" spans="1:12" x14ac:dyDescent="0.25">
      <c r="A49" s="6">
        <v>45722</v>
      </c>
      <c r="B49" s="3" t="s">
        <v>87</v>
      </c>
      <c r="C49" s="3" t="s">
        <v>36</v>
      </c>
      <c r="D49" s="3" t="s">
        <v>37</v>
      </c>
      <c r="E49" s="3" t="s">
        <v>42</v>
      </c>
      <c r="F49">
        <v>2210</v>
      </c>
      <c r="G49" s="1">
        <v>10</v>
      </c>
      <c r="H49" s="4">
        <f>G49*F49</f>
        <v>22100</v>
      </c>
      <c r="I49" s="3" t="s">
        <v>52</v>
      </c>
      <c r="J49" s="3" t="s">
        <v>48</v>
      </c>
      <c r="L49" t="s">
        <v>126</v>
      </c>
    </row>
    <row r="50" spans="1:12" hidden="1" x14ac:dyDescent="0.25">
      <c r="A50" s="6">
        <v>45804</v>
      </c>
      <c r="B50" s="3" t="s">
        <v>91</v>
      </c>
      <c r="C50" s="3" t="s">
        <v>18</v>
      </c>
      <c r="D50" s="3" t="s">
        <v>19</v>
      </c>
      <c r="E50" s="3" t="s">
        <v>42</v>
      </c>
      <c r="F50">
        <v>1430.75</v>
      </c>
      <c r="G50" s="1">
        <v>3</v>
      </c>
      <c r="H50" s="4">
        <f>G50*F50</f>
        <v>4292.25</v>
      </c>
      <c r="I50" s="3" t="s">
        <v>52</v>
      </c>
      <c r="J50" s="3" t="s">
        <v>49</v>
      </c>
      <c r="K50" t="s">
        <v>93</v>
      </c>
      <c r="L50" t="s">
        <v>131</v>
      </c>
    </row>
    <row r="51" spans="1:12" hidden="1" x14ac:dyDescent="0.25">
      <c r="A51" s="6">
        <v>45797</v>
      </c>
      <c r="B51" s="3" t="s">
        <v>92</v>
      </c>
      <c r="C51" s="3" t="s">
        <v>9</v>
      </c>
      <c r="D51" s="3" t="s">
        <v>10</v>
      </c>
      <c r="E51" s="3" t="s">
        <v>43</v>
      </c>
      <c r="F51">
        <v>995</v>
      </c>
      <c r="G51" s="1">
        <v>3</v>
      </c>
      <c r="H51" s="4">
        <f>G51*F51</f>
        <v>2985</v>
      </c>
      <c r="I51" s="3" t="s">
        <v>53</v>
      </c>
      <c r="J51" s="3" t="s">
        <v>48</v>
      </c>
      <c r="L51" t="s">
        <v>137</v>
      </c>
    </row>
    <row r="52" spans="1:12" x14ac:dyDescent="0.25">
      <c r="A52" s="6">
        <v>45694</v>
      </c>
      <c r="B52" s="3" t="s">
        <v>84</v>
      </c>
      <c r="C52" s="3" t="s">
        <v>36</v>
      </c>
      <c r="D52" s="3" t="s">
        <v>37</v>
      </c>
      <c r="E52" s="3" t="s">
        <v>42</v>
      </c>
      <c r="F52">
        <v>2210</v>
      </c>
      <c r="G52" s="1">
        <v>9</v>
      </c>
      <c r="H52" s="4">
        <f>G52*F52</f>
        <v>19890</v>
      </c>
      <c r="I52" s="3" t="s">
        <v>52</v>
      </c>
      <c r="J52" s="3" t="s">
        <v>49</v>
      </c>
      <c r="K52" t="s">
        <v>96</v>
      </c>
      <c r="L52" t="s">
        <v>128</v>
      </c>
    </row>
    <row r="53" spans="1:12" x14ac:dyDescent="0.25">
      <c r="A53" s="6">
        <v>46071</v>
      </c>
      <c r="B53" s="3" t="s">
        <v>23</v>
      </c>
      <c r="C53" s="3" t="s">
        <v>39</v>
      </c>
      <c r="D53" s="3" t="s">
        <v>10</v>
      </c>
      <c r="E53" s="3" t="s">
        <v>43</v>
      </c>
      <c r="F53">
        <v>2475.25</v>
      </c>
      <c r="G53" s="1">
        <v>12</v>
      </c>
      <c r="H53" s="4">
        <f>G53*F53</f>
        <v>29703</v>
      </c>
      <c r="I53" s="3" t="s">
        <v>53</v>
      </c>
      <c r="J53" s="3" t="s">
        <v>49</v>
      </c>
      <c r="K53" t="s">
        <v>93</v>
      </c>
      <c r="L53" t="s">
        <v>131</v>
      </c>
    </row>
    <row r="54" spans="1:12" x14ac:dyDescent="0.25">
      <c r="A54" s="6">
        <v>46015</v>
      </c>
      <c r="B54" s="3" t="s">
        <v>56</v>
      </c>
      <c r="C54" s="3" t="s">
        <v>39</v>
      </c>
      <c r="D54" s="3" t="s">
        <v>10</v>
      </c>
      <c r="E54" s="3" t="s">
        <v>43</v>
      </c>
      <c r="F54">
        <v>2475.25</v>
      </c>
      <c r="G54" s="1">
        <v>7</v>
      </c>
      <c r="H54" s="4">
        <f>G54*F54</f>
        <v>17326.75</v>
      </c>
      <c r="I54" s="3" t="s">
        <v>53</v>
      </c>
      <c r="J54" s="3" t="s">
        <v>49</v>
      </c>
      <c r="K54" t="s">
        <v>95</v>
      </c>
      <c r="L54" t="s">
        <v>137</v>
      </c>
    </row>
    <row r="55" spans="1:12" hidden="1" x14ac:dyDescent="0.25">
      <c r="A55" s="6">
        <v>45771</v>
      </c>
      <c r="B55" s="3" t="s">
        <v>74</v>
      </c>
      <c r="C55" s="3" t="s">
        <v>9</v>
      </c>
      <c r="D55" s="3" t="s">
        <v>10</v>
      </c>
      <c r="E55" s="3" t="s">
        <v>43</v>
      </c>
      <c r="F55">
        <v>995</v>
      </c>
      <c r="G55" s="1">
        <v>3</v>
      </c>
      <c r="H55" s="4">
        <f>G55*F55</f>
        <v>2985</v>
      </c>
      <c r="I55" s="3" t="s">
        <v>52</v>
      </c>
      <c r="J55" s="3" t="s">
        <v>48</v>
      </c>
      <c r="L55" t="s">
        <v>134</v>
      </c>
    </row>
    <row r="56" spans="1:12" hidden="1" x14ac:dyDescent="0.25">
      <c r="A56" s="6">
        <v>45763</v>
      </c>
      <c r="B56" s="3" t="s">
        <v>79</v>
      </c>
      <c r="C56" s="3" t="s">
        <v>18</v>
      </c>
      <c r="D56" s="3" t="s">
        <v>19</v>
      </c>
      <c r="E56" s="3" t="s">
        <v>42</v>
      </c>
      <c r="F56">
        <v>1430.75</v>
      </c>
      <c r="G56" s="1">
        <v>9</v>
      </c>
      <c r="H56" s="4">
        <f>G56*F56</f>
        <v>12876.75</v>
      </c>
      <c r="I56" s="3" t="s">
        <v>52</v>
      </c>
      <c r="J56" s="3" t="s">
        <v>49</v>
      </c>
      <c r="K56" t="s">
        <v>95</v>
      </c>
      <c r="L56" t="s">
        <v>126</v>
      </c>
    </row>
    <row r="57" spans="1:12" hidden="1" x14ac:dyDescent="0.25">
      <c r="A57" s="6">
        <v>45756</v>
      </c>
      <c r="B57" s="3" t="s">
        <v>78</v>
      </c>
      <c r="C57" s="3" t="s">
        <v>9</v>
      </c>
      <c r="D57" s="3" t="s">
        <v>10</v>
      </c>
      <c r="E57" s="3" t="s">
        <v>43</v>
      </c>
      <c r="F57">
        <v>995</v>
      </c>
      <c r="G57" s="1">
        <v>15</v>
      </c>
      <c r="H57" s="4">
        <f>G57*F57</f>
        <v>14925</v>
      </c>
      <c r="I57" s="3" t="s">
        <v>52</v>
      </c>
      <c r="J57" s="3" t="s">
        <v>49</v>
      </c>
      <c r="K57" t="s">
        <v>96</v>
      </c>
      <c r="L57" t="s">
        <v>137</v>
      </c>
    </row>
    <row r="58" spans="1:12" x14ac:dyDescent="0.25">
      <c r="A58" s="6">
        <v>46008</v>
      </c>
      <c r="B58" s="3" t="s">
        <v>58</v>
      </c>
      <c r="C58" s="3" t="s">
        <v>39</v>
      </c>
      <c r="D58" s="3" t="s">
        <v>10</v>
      </c>
      <c r="E58" s="3" t="s">
        <v>43</v>
      </c>
      <c r="F58">
        <v>2475.25</v>
      </c>
      <c r="G58" s="1">
        <v>7</v>
      </c>
      <c r="H58" s="4">
        <f>G58*F58</f>
        <v>17326.75</v>
      </c>
      <c r="I58" s="3" t="s">
        <v>52</v>
      </c>
      <c r="J58" s="3" t="s">
        <v>49</v>
      </c>
      <c r="K58" t="s">
        <v>96</v>
      </c>
      <c r="L58" t="s">
        <v>134</v>
      </c>
    </row>
    <row r="59" spans="1:12" hidden="1" x14ac:dyDescent="0.25">
      <c r="A59" s="6">
        <v>45740</v>
      </c>
      <c r="B59" s="3" t="s">
        <v>81</v>
      </c>
      <c r="C59" s="3" t="s">
        <v>18</v>
      </c>
      <c r="D59" s="3" t="s">
        <v>19</v>
      </c>
      <c r="E59" s="3" t="s">
        <v>42</v>
      </c>
      <c r="F59">
        <v>1430.75</v>
      </c>
      <c r="G59" s="1">
        <v>1</v>
      </c>
      <c r="H59" s="4">
        <f>G59*F59</f>
        <v>1430.75</v>
      </c>
      <c r="I59" s="3" t="s">
        <v>52</v>
      </c>
      <c r="J59" s="3" t="s">
        <v>49</v>
      </c>
      <c r="K59" t="s">
        <v>95</v>
      </c>
      <c r="L59" t="s">
        <v>128</v>
      </c>
    </row>
    <row r="60" spans="1:12" hidden="1" x14ac:dyDescent="0.25">
      <c r="A60" s="6">
        <v>45736</v>
      </c>
      <c r="B60" s="3" t="s">
        <v>82</v>
      </c>
      <c r="C60" s="3" t="s">
        <v>9</v>
      </c>
      <c r="D60" s="3" t="s">
        <v>10</v>
      </c>
      <c r="E60" s="3" t="s">
        <v>43</v>
      </c>
      <c r="F60">
        <v>995</v>
      </c>
      <c r="G60" s="1">
        <v>9</v>
      </c>
      <c r="H60" s="4">
        <f>G60*F60</f>
        <v>8955</v>
      </c>
      <c r="I60" s="3" t="s">
        <v>53</v>
      </c>
      <c r="J60" s="3" t="s">
        <v>49</v>
      </c>
      <c r="K60" t="s">
        <v>94</v>
      </c>
      <c r="L60" t="s">
        <v>133</v>
      </c>
    </row>
    <row r="61" spans="1:12" x14ac:dyDescent="0.25">
      <c r="A61" s="6">
        <v>45958</v>
      </c>
      <c r="B61" s="3" t="s">
        <v>66</v>
      </c>
      <c r="C61" s="3" t="s">
        <v>39</v>
      </c>
      <c r="D61" s="3" t="s">
        <v>10</v>
      </c>
      <c r="E61" s="3" t="s">
        <v>43</v>
      </c>
      <c r="F61">
        <v>2475.25</v>
      </c>
      <c r="G61" s="1">
        <v>8</v>
      </c>
      <c r="H61" s="4">
        <f>G61*F61</f>
        <v>19802</v>
      </c>
      <c r="I61" s="3" t="s">
        <v>53</v>
      </c>
      <c r="J61" s="3" t="s">
        <v>49</v>
      </c>
      <c r="K61" t="s">
        <v>94</v>
      </c>
      <c r="L61" t="s">
        <v>134</v>
      </c>
    </row>
    <row r="62" spans="1:12" x14ac:dyDescent="0.25">
      <c r="A62" s="6">
        <v>45903</v>
      </c>
      <c r="B62" s="3" t="s">
        <v>74</v>
      </c>
      <c r="C62" s="3" t="s">
        <v>39</v>
      </c>
      <c r="D62" s="3" t="s">
        <v>10</v>
      </c>
      <c r="E62" s="3" t="s">
        <v>43</v>
      </c>
      <c r="F62">
        <v>2475.25</v>
      </c>
      <c r="G62" s="1">
        <v>4</v>
      </c>
      <c r="H62" s="4">
        <f>G62*F62</f>
        <v>9901</v>
      </c>
      <c r="I62" s="3" t="s">
        <v>53</v>
      </c>
      <c r="J62" s="3" t="s">
        <v>49</v>
      </c>
      <c r="K62" t="s">
        <v>96</v>
      </c>
      <c r="L62" t="s">
        <v>126</v>
      </c>
    </row>
    <row r="63" spans="1:12" x14ac:dyDescent="0.25">
      <c r="A63" s="6">
        <v>45889</v>
      </c>
      <c r="B63" s="3" t="s">
        <v>77</v>
      </c>
      <c r="C63" s="3" t="s">
        <v>39</v>
      </c>
      <c r="D63" s="3" t="s">
        <v>10</v>
      </c>
      <c r="E63" s="3" t="s">
        <v>43</v>
      </c>
      <c r="F63">
        <v>2475.25</v>
      </c>
      <c r="G63" s="1">
        <v>12</v>
      </c>
      <c r="H63" s="4">
        <f>G63*F63</f>
        <v>29703</v>
      </c>
      <c r="I63" s="3" t="s">
        <v>52</v>
      </c>
      <c r="J63" s="3" t="s">
        <v>48</v>
      </c>
      <c r="L63" t="s">
        <v>134</v>
      </c>
    </row>
    <row r="64" spans="1:12" hidden="1" x14ac:dyDescent="0.25">
      <c r="A64" s="6">
        <v>45701</v>
      </c>
      <c r="B64" s="3" t="s">
        <v>81</v>
      </c>
      <c r="C64" s="3" t="s">
        <v>9</v>
      </c>
      <c r="D64" s="3" t="s">
        <v>10</v>
      </c>
      <c r="E64" s="3" t="s">
        <v>43</v>
      </c>
      <c r="F64">
        <v>995</v>
      </c>
      <c r="G64" s="1">
        <v>2</v>
      </c>
      <c r="H64" s="4">
        <f>G64*F64</f>
        <v>1990</v>
      </c>
      <c r="I64" s="3" t="s">
        <v>54</v>
      </c>
      <c r="J64" s="3" t="s">
        <v>50</v>
      </c>
      <c r="L64" t="s">
        <v>126</v>
      </c>
    </row>
    <row r="65" spans="1:12" hidden="1" x14ac:dyDescent="0.25">
      <c r="A65" s="6">
        <v>45699</v>
      </c>
      <c r="B65" s="3" t="s">
        <v>82</v>
      </c>
      <c r="C65" s="3" t="s">
        <v>18</v>
      </c>
      <c r="D65" s="3" t="s">
        <v>19</v>
      </c>
      <c r="E65" s="3" t="s">
        <v>42</v>
      </c>
      <c r="F65">
        <v>1430.75</v>
      </c>
      <c r="G65" s="1">
        <v>5</v>
      </c>
      <c r="H65" s="4">
        <f>G65*F65</f>
        <v>7153.75</v>
      </c>
      <c r="I65" s="3" t="s">
        <v>52</v>
      </c>
      <c r="J65" s="3" t="s">
        <v>49</v>
      </c>
      <c r="K65" t="s">
        <v>96</v>
      </c>
      <c r="L65" t="s">
        <v>133</v>
      </c>
    </row>
    <row r="66" spans="1:12" hidden="1" x14ac:dyDescent="0.25">
      <c r="A66" s="6">
        <v>45694</v>
      </c>
      <c r="B66" s="3" t="s">
        <v>83</v>
      </c>
      <c r="C66" s="3" t="s">
        <v>9</v>
      </c>
      <c r="D66" s="3" t="s">
        <v>10</v>
      </c>
      <c r="E66" s="3" t="s">
        <v>43</v>
      </c>
      <c r="F66">
        <v>995</v>
      </c>
      <c r="G66" s="1">
        <v>2</v>
      </c>
      <c r="H66" s="4">
        <f>G66*F66</f>
        <v>1990</v>
      </c>
      <c r="I66" s="3" t="s">
        <v>53</v>
      </c>
      <c r="J66" s="3" t="s">
        <v>49</v>
      </c>
      <c r="K66" t="s">
        <v>94</v>
      </c>
      <c r="L66" t="s">
        <v>126</v>
      </c>
    </row>
    <row r="67" spans="1:12" x14ac:dyDescent="0.25">
      <c r="A67" s="6">
        <v>45863</v>
      </c>
      <c r="B67" s="3" t="s">
        <v>81</v>
      </c>
      <c r="C67" s="3" t="s">
        <v>39</v>
      </c>
      <c r="D67" s="3" t="s">
        <v>10</v>
      </c>
      <c r="E67" s="3" t="s">
        <v>43</v>
      </c>
      <c r="F67">
        <v>2475.25</v>
      </c>
      <c r="G67" s="1">
        <v>7</v>
      </c>
      <c r="H67" s="4">
        <f>G67*F67</f>
        <v>17326.75</v>
      </c>
      <c r="I67" s="3" t="s">
        <v>52</v>
      </c>
      <c r="J67" s="3" t="s">
        <v>50</v>
      </c>
      <c r="L67" t="s">
        <v>137</v>
      </c>
    </row>
    <row r="68" spans="1:12" x14ac:dyDescent="0.25">
      <c r="A68" s="6">
        <v>45807</v>
      </c>
      <c r="B68" s="3" t="s">
        <v>90</v>
      </c>
      <c r="C68" s="3" t="s">
        <v>39</v>
      </c>
      <c r="D68" s="3" t="s">
        <v>10</v>
      </c>
      <c r="E68" s="3" t="s">
        <v>43</v>
      </c>
      <c r="F68">
        <v>2475.25</v>
      </c>
      <c r="G68" s="1">
        <v>3</v>
      </c>
      <c r="H68" s="4">
        <f>G68*F68</f>
        <v>7425.75</v>
      </c>
      <c r="I68" s="3" t="s">
        <v>52</v>
      </c>
      <c r="J68" s="3" t="s">
        <v>49</v>
      </c>
      <c r="K68" t="s">
        <v>94</v>
      </c>
      <c r="L68" t="s">
        <v>128</v>
      </c>
    </row>
    <row r="69" spans="1:12" hidden="1" x14ac:dyDescent="0.25">
      <c r="A69" s="6">
        <v>45671</v>
      </c>
      <c r="B69" s="3" t="s">
        <v>87</v>
      </c>
      <c r="C69" s="3" t="s">
        <v>9</v>
      </c>
      <c r="D69" s="3" t="s">
        <v>10</v>
      </c>
      <c r="E69" s="3" t="s">
        <v>43</v>
      </c>
      <c r="F69">
        <v>995</v>
      </c>
      <c r="G69" s="1">
        <v>7</v>
      </c>
      <c r="H69" s="4">
        <f t="shared" ref="H66:H71" si="0">G69*F69</f>
        <v>6965</v>
      </c>
      <c r="I69" s="3" t="s">
        <v>53</v>
      </c>
      <c r="J69" s="3" t="s">
        <v>49</v>
      </c>
      <c r="K69" t="s">
        <v>96</v>
      </c>
      <c r="L69" t="s">
        <v>126</v>
      </c>
    </row>
    <row r="70" spans="1:12" hidden="1" x14ac:dyDescent="0.25">
      <c r="A70" s="6">
        <v>45667</v>
      </c>
      <c r="B70" s="3" t="s">
        <v>86</v>
      </c>
      <c r="C70" s="3" t="s">
        <v>18</v>
      </c>
      <c r="D70" s="3" t="s">
        <v>19</v>
      </c>
      <c r="E70" s="3" t="s">
        <v>42</v>
      </c>
      <c r="F70">
        <v>1430.75</v>
      </c>
      <c r="G70" s="1">
        <v>11</v>
      </c>
      <c r="H70" s="4">
        <f t="shared" si="0"/>
        <v>15738.25</v>
      </c>
      <c r="I70" s="3" t="s">
        <v>54</v>
      </c>
      <c r="J70" s="3" t="s">
        <v>50</v>
      </c>
      <c r="L70" t="s">
        <v>126</v>
      </c>
    </row>
    <row r="71" spans="1:12" hidden="1" x14ac:dyDescent="0.25">
      <c r="A71" s="6">
        <v>45660</v>
      </c>
      <c r="B71" s="3" t="s">
        <v>88</v>
      </c>
      <c r="C71" s="3" t="s">
        <v>9</v>
      </c>
      <c r="D71" s="3" t="s">
        <v>10</v>
      </c>
      <c r="E71" s="3" t="s">
        <v>43</v>
      </c>
      <c r="F71">
        <v>995</v>
      </c>
      <c r="G71" s="1">
        <v>11</v>
      </c>
      <c r="H71" s="4">
        <f t="shared" si="0"/>
        <v>10945</v>
      </c>
      <c r="I71" s="3" t="s">
        <v>52</v>
      </c>
      <c r="J71" s="3" t="s">
        <v>49</v>
      </c>
      <c r="K71" t="s">
        <v>95</v>
      </c>
      <c r="L71" t="s">
        <v>126</v>
      </c>
    </row>
  </sheetData>
  <autoFilter ref="A1:L71" xr:uid="{34D43B39-7677-453F-B171-0CB57A3BD202}">
    <filterColumn colId="2">
      <filters>
        <filter val="POH-QC-1102"/>
        <filter val="POH-QC-1103"/>
        <filter val="POH-QC-1105"/>
        <filter val="POH-QC-1106"/>
        <filter val="POH-QC-1107"/>
        <filter val="POH-QC-1108"/>
        <filter val="POH-QC-1109"/>
        <filter val="POH-QC-1110"/>
        <filter val="POH-QC-1111"/>
      </filters>
    </filterColumn>
    <sortState xmlns:xlrd2="http://schemas.microsoft.com/office/spreadsheetml/2017/richdata2" ref="A2:L68">
      <sortCondition ref="C1:C7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DD56-A1AF-427D-B776-A51BFFF46AF0}">
  <dimension ref="A1:L8"/>
  <sheetViews>
    <sheetView workbookViewId="0"/>
  </sheetViews>
  <sheetFormatPr baseColWidth="10" defaultRowHeight="15" x14ac:dyDescent="0.25"/>
  <cols>
    <col min="1" max="1" width="7.7109375" style="1" bestFit="1" customWidth="1"/>
    <col min="2" max="2" width="27.28515625" bestFit="1" customWidth="1"/>
    <col min="3" max="3" width="35" bestFit="1" customWidth="1"/>
    <col min="4" max="4" width="13.85546875" bestFit="1" customWidth="1"/>
    <col min="5" max="5" width="18.85546875" bestFit="1" customWidth="1"/>
  </cols>
  <sheetData>
    <row r="1" spans="1:12" ht="17.25" thickBot="1" x14ac:dyDescent="0.3">
      <c r="A1" s="1" t="s">
        <v>136</v>
      </c>
      <c r="B1" s="3" t="s">
        <v>109</v>
      </c>
      <c r="C1" s="3" t="s">
        <v>113</v>
      </c>
      <c r="D1" s="3" t="s">
        <v>110</v>
      </c>
      <c r="E1" s="1" t="s">
        <v>111</v>
      </c>
      <c r="F1" s="4"/>
      <c r="G1" s="5"/>
      <c r="H1" s="4"/>
      <c r="I1" s="1"/>
      <c r="J1" s="1"/>
      <c r="K1" s="1"/>
      <c r="L1" s="1"/>
    </row>
    <row r="2" spans="1:12" ht="17.25" thickBot="1" x14ac:dyDescent="0.3">
      <c r="A2" s="10" t="s">
        <v>126</v>
      </c>
      <c r="B2" s="8" t="s">
        <v>97</v>
      </c>
      <c r="C2" s="8" t="s">
        <v>98</v>
      </c>
      <c r="D2" s="8" t="s">
        <v>117</v>
      </c>
      <c r="E2" s="8" t="s">
        <v>114</v>
      </c>
    </row>
    <row r="3" spans="1:12" ht="17.25" thickBot="1" x14ac:dyDescent="0.3">
      <c r="A3" s="10" t="s">
        <v>128</v>
      </c>
      <c r="B3" s="8" t="s">
        <v>99</v>
      </c>
      <c r="C3" s="8" t="s">
        <v>100</v>
      </c>
      <c r="D3" s="8" t="s">
        <v>112</v>
      </c>
      <c r="E3" s="8" t="s">
        <v>114</v>
      </c>
    </row>
    <row r="4" spans="1:12" ht="17.25" thickBot="1" x14ac:dyDescent="0.3">
      <c r="A4" s="10" t="s">
        <v>130</v>
      </c>
      <c r="B4" s="8" t="s">
        <v>101</v>
      </c>
      <c r="C4" s="8" t="s">
        <v>102</v>
      </c>
      <c r="D4" s="8" t="s">
        <v>117</v>
      </c>
      <c r="E4" s="8" t="s">
        <v>114</v>
      </c>
    </row>
    <row r="5" spans="1:12" ht="17.25" thickBot="1" x14ac:dyDescent="0.3">
      <c r="A5" s="10" t="s">
        <v>131</v>
      </c>
      <c r="B5" s="8" t="s">
        <v>103</v>
      </c>
      <c r="C5" s="8" t="s">
        <v>104</v>
      </c>
      <c r="D5" s="8" t="s">
        <v>1</v>
      </c>
      <c r="E5" s="8" t="s">
        <v>115</v>
      </c>
    </row>
    <row r="6" spans="1:12" ht="17.25" thickBot="1" x14ac:dyDescent="0.3">
      <c r="A6" s="10" t="s">
        <v>133</v>
      </c>
      <c r="B6" s="8" t="s">
        <v>105</v>
      </c>
      <c r="C6" s="8" t="s">
        <v>106</v>
      </c>
      <c r="D6" s="8" t="s">
        <v>116</v>
      </c>
      <c r="E6" s="8" t="s">
        <v>115</v>
      </c>
    </row>
    <row r="7" spans="1:12" ht="17.25" thickBot="1" x14ac:dyDescent="0.3">
      <c r="A7" s="10" t="s">
        <v>134</v>
      </c>
      <c r="B7" s="8" t="s">
        <v>107</v>
      </c>
      <c r="C7" s="8" t="s">
        <v>108</v>
      </c>
      <c r="D7" s="8" t="s">
        <v>116</v>
      </c>
      <c r="E7" s="8" t="s">
        <v>115</v>
      </c>
    </row>
    <row r="8" spans="1:12" ht="17.25" thickBot="1" x14ac:dyDescent="0.3">
      <c r="A8" s="10" t="s">
        <v>137</v>
      </c>
      <c r="B8" s="2" t="s">
        <v>118</v>
      </c>
      <c r="C8" s="2" t="s">
        <v>119</v>
      </c>
      <c r="D8" s="8" t="s">
        <v>120</v>
      </c>
      <c r="E8" s="8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55AB8-D1D0-4349-8F87-B5E7D2A768C6}">
  <dimension ref="A1:L71"/>
  <sheetViews>
    <sheetView tabSelected="1" workbookViewId="0">
      <selection sqref="A1:E1048576"/>
    </sheetView>
  </sheetViews>
  <sheetFormatPr baseColWidth="10" defaultRowHeight="15" x14ac:dyDescent="0.25"/>
  <cols>
    <col min="1" max="1" width="12.85546875" bestFit="1" customWidth="1"/>
    <col min="2" max="2" width="8.140625" bestFit="1" customWidth="1"/>
    <col min="3" max="3" width="18.28515625" bestFit="1" customWidth="1"/>
    <col min="4" max="4" width="12.28515625" bestFit="1" customWidth="1"/>
    <col min="5" max="5" width="9.7109375" bestFit="1" customWidth="1"/>
  </cols>
  <sheetData>
    <row r="1" spans="1:12" ht="17.25" thickBot="1" x14ac:dyDescent="0.3">
      <c r="A1" s="1" t="s">
        <v>121</v>
      </c>
      <c r="B1" s="3" t="s">
        <v>122</v>
      </c>
      <c r="C1" s="3" t="s">
        <v>123</v>
      </c>
      <c r="D1" s="3" t="s">
        <v>124</v>
      </c>
      <c r="E1" s="1" t="s">
        <v>125</v>
      </c>
      <c r="F1" s="4"/>
      <c r="G1" s="5"/>
      <c r="H1" s="4"/>
      <c r="I1" s="1"/>
      <c r="J1" s="1"/>
      <c r="K1" s="1"/>
      <c r="L1" s="1"/>
    </row>
    <row r="2" spans="1:12" ht="17.25" thickBot="1" x14ac:dyDescent="0.3">
      <c r="A2" s="3" t="s">
        <v>8</v>
      </c>
      <c r="B2" t="s">
        <v>131</v>
      </c>
      <c r="C2" s="6">
        <v>46099</v>
      </c>
      <c r="D2" s="9">
        <v>46126</v>
      </c>
      <c r="E2" s="8" t="s">
        <v>127</v>
      </c>
    </row>
    <row r="3" spans="1:12" ht="17.25" thickBot="1" x14ac:dyDescent="0.3">
      <c r="A3" s="3" t="s">
        <v>11</v>
      </c>
      <c r="B3" t="s">
        <v>133</v>
      </c>
      <c r="C3" s="6">
        <v>46097</v>
      </c>
      <c r="D3" s="9">
        <v>46111</v>
      </c>
      <c r="E3" s="8" t="s">
        <v>129</v>
      </c>
    </row>
    <row r="4" spans="1:12" ht="17.25" thickBot="1" x14ac:dyDescent="0.3">
      <c r="A4" s="3" t="s">
        <v>14</v>
      </c>
      <c r="B4" t="s">
        <v>134</v>
      </c>
      <c r="C4" s="6">
        <v>46094</v>
      </c>
      <c r="D4" s="9">
        <v>46114</v>
      </c>
      <c r="E4" s="8" t="s">
        <v>127</v>
      </c>
    </row>
    <row r="5" spans="1:12" ht="17.25" thickBot="1" x14ac:dyDescent="0.3">
      <c r="A5" s="3" t="s">
        <v>17</v>
      </c>
      <c r="B5" t="s">
        <v>134</v>
      </c>
      <c r="C5" s="6">
        <v>46090</v>
      </c>
      <c r="D5" s="9">
        <v>46112</v>
      </c>
      <c r="E5" s="8" t="s">
        <v>132</v>
      </c>
    </row>
    <row r="6" spans="1:12" ht="17.25" thickBot="1" x14ac:dyDescent="0.3">
      <c r="A6" s="3" t="s">
        <v>20</v>
      </c>
      <c r="B6" t="s">
        <v>133</v>
      </c>
      <c r="C6" s="6">
        <v>46083</v>
      </c>
      <c r="D6" s="9">
        <v>46097</v>
      </c>
      <c r="E6" s="8" t="s">
        <v>129</v>
      </c>
    </row>
    <row r="7" spans="1:12" ht="17.25" thickBot="1" x14ac:dyDescent="0.3">
      <c r="A7" s="3" t="s">
        <v>23</v>
      </c>
      <c r="B7" t="s">
        <v>131</v>
      </c>
      <c r="C7" s="6">
        <v>46071</v>
      </c>
      <c r="D7" s="9">
        <v>46099</v>
      </c>
      <c r="E7" s="8" t="s">
        <v>127</v>
      </c>
    </row>
    <row r="8" spans="1:12" ht="17.25" thickBot="1" x14ac:dyDescent="0.3">
      <c r="A8" s="3" t="s">
        <v>26</v>
      </c>
      <c r="B8" t="s">
        <v>126</v>
      </c>
      <c r="C8" s="6">
        <v>46069</v>
      </c>
      <c r="D8" s="9">
        <v>46091</v>
      </c>
      <c r="E8" s="8" t="s">
        <v>129</v>
      </c>
    </row>
    <row r="9" spans="1:12" ht="17.25" thickBot="1" x14ac:dyDescent="0.3">
      <c r="A9" s="3" t="s">
        <v>29</v>
      </c>
      <c r="B9" t="s">
        <v>130</v>
      </c>
      <c r="C9" s="6">
        <v>46064</v>
      </c>
      <c r="D9" s="9">
        <v>46076</v>
      </c>
      <c r="E9" s="8" t="s">
        <v>127</v>
      </c>
    </row>
    <row r="10" spans="1:12" ht="17.25" thickBot="1" x14ac:dyDescent="0.3">
      <c r="A10" s="3" t="s">
        <v>32</v>
      </c>
      <c r="B10" t="s">
        <v>131</v>
      </c>
      <c r="C10" s="6">
        <v>46057</v>
      </c>
      <c r="D10" s="9">
        <v>46077</v>
      </c>
      <c r="E10" s="8" t="s">
        <v>132</v>
      </c>
    </row>
    <row r="11" spans="1:12" ht="17.25" thickBot="1" x14ac:dyDescent="0.3">
      <c r="A11" s="3" t="s">
        <v>35</v>
      </c>
      <c r="B11" t="s">
        <v>137</v>
      </c>
      <c r="C11" s="6">
        <v>46045</v>
      </c>
      <c r="D11" s="9">
        <v>46065</v>
      </c>
      <c r="E11" s="8" t="s">
        <v>129</v>
      </c>
    </row>
    <row r="12" spans="1:12" ht="17.25" thickBot="1" x14ac:dyDescent="0.3">
      <c r="A12" s="3" t="s">
        <v>38</v>
      </c>
      <c r="B12" t="s">
        <v>133</v>
      </c>
      <c r="C12" s="6">
        <v>46041</v>
      </c>
      <c r="D12" s="9">
        <v>46064</v>
      </c>
      <c r="E12" s="8" t="s">
        <v>127</v>
      </c>
    </row>
    <row r="13" spans="1:12" ht="17.25" thickBot="1" x14ac:dyDescent="0.3">
      <c r="A13" s="3" t="s">
        <v>40</v>
      </c>
      <c r="B13" t="s">
        <v>128</v>
      </c>
      <c r="C13" s="6">
        <v>46034</v>
      </c>
      <c r="D13" s="9">
        <v>46049</v>
      </c>
      <c r="E13" s="8" t="s">
        <v>129</v>
      </c>
    </row>
    <row r="14" spans="1:12" ht="17.25" thickBot="1" x14ac:dyDescent="0.3">
      <c r="A14" s="3" t="s">
        <v>55</v>
      </c>
      <c r="B14" t="s">
        <v>137</v>
      </c>
      <c r="C14" s="6">
        <v>46022</v>
      </c>
      <c r="D14" s="9">
        <v>46041</v>
      </c>
      <c r="E14" s="8" t="s">
        <v>135</v>
      </c>
    </row>
    <row r="15" spans="1:12" ht="17.25" thickBot="1" x14ac:dyDescent="0.3">
      <c r="A15" s="3" t="s">
        <v>56</v>
      </c>
      <c r="B15" t="s">
        <v>137</v>
      </c>
      <c r="C15" s="6">
        <v>46015</v>
      </c>
      <c r="D15" s="9">
        <v>46038</v>
      </c>
      <c r="E15" s="8" t="s">
        <v>135</v>
      </c>
    </row>
    <row r="16" spans="1:12" ht="17.25" thickBot="1" x14ac:dyDescent="0.3">
      <c r="A16" s="3" t="s">
        <v>57</v>
      </c>
      <c r="B16" t="s">
        <v>137</v>
      </c>
      <c r="C16" s="6">
        <v>46009</v>
      </c>
      <c r="D16" s="9">
        <v>46029</v>
      </c>
      <c r="E16" s="8" t="s">
        <v>129</v>
      </c>
    </row>
    <row r="17" spans="1:5" ht="17.25" thickBot="1" x14ac:dyDescent="0.3">
      <c r="A17" s="3" t="s">
        <v>58</v>
      </c>
      <c r="B17" t="s">
        <v>134</v>
      </c>
      <c r="C17" s="6">
        <v>46008</v>
      </c>
      <c r="D17" s="9">
        <v>46034</v>
      </c>
      <c r="E17" s="8" t="s">
        <v>132</v>
      </c>
    </row>
    <row r="18" spans="1:5" ht="17.25" thickBot="1" x14ac:dyDescent="0.3">
      <c r="A18" s="3" t="s">
        <v>59</v>
      </c>
      <c r="B18" t="s">
        <v>134</v>
      </c>
      <c r="C18" s="6">
        <v>46003</v>
      </c>
      <c r="D18" s="9">
        <v>46028</v>
      </c>
      <c r="E18" s="8" t="s">
        <v>127</v>
      </c>
    </row>
    <row r="19" spans="1:5" ht="17.25" thickBot="1" x14ac:dyDescent="0.3">
      <c r="A19" s="3" t="s">
        <v>60</v>
      </c>
      <c r="B19" t="s">
        <v>130</v>
      </c>
      <c r="C19" s="6">
        <v>46001</v>
      </c>
      <c r="D19" s="9">
        <v>46014</v>
      </c>
      <c r="E19" s="8" t="s">
        <v>129</v>
      </c>
    </row>
    <row r="20" spans="1:5" ht="17.25" thickBot="1" x14ac:dyDescent="0.3">
      <c r="A20" s="3" t="s">
        <v>61</v>
      </c>
      <c r="B20" t="s">
        <v>130</v>
      </c>
      <c r="C20" s="6">
        <v>45994</v>
      </c>
      <c r="D20" s="9">
        <v>46014</v>
      </c>
      <c r="E20" s="8" t="s">
        <v>135</v>
      </c>
    </row>
    <row r="21" spans="1:5" ht="17.25" thickBot="1" x14ac:dyDescent="0.3">
      <c r="A21" s="3" t="s">
        <v>62</v>
      </c>
      <c r="B21" t="s">
        <v>134</v>
      </c>
      <c r="C21" s="6">
        <v>45982</v>
      </c>
      <c r="D21" s="9">
        <v>45994</v>
      </c>
      <c r="E21" s="8" t="s">
        <v>129</v>
      </c>
    </row>
    <row r="22" spans="1:5" ht="17.25" thickBot="1" x14ac:dyDescent="0.3">
      <c r="A22" s="3" t="s">
        <v>63</v>
      </c>
      <c r="B22" t="s">
        <v>137</v>
      </c>
      <c r="C22" s="6">
        <v>45979</v>
      </c>
      <c r="D22" s="9">
        <v>46002</v>
      </c>
      <c r="E22" s="8" t="s">
        <v>127</v>
      </c>
    </row>
    <row r="23" spans="1:5" ht="17.25" thickBot="1" x14ac:dyDescent="0.3">
      <c r="A23" s="3" t="s">
        <v>64</v>
      </c>
      <c r="B23" t="s">
        <v>130</v>
      </c>
      <c r="C23" s="6">
        <v>45975</v>
      </c>
      <c r="D23" s="9">
        <v>45989</v>
      </c>
      <c r="E23" s="8" t="s">
        <v>132</v>
      </c>
    </row>
    <row r="24" spans="1:5" ht="17.25" thickBot="1" x14ac:dyDescent="0.3">
      <c r="A24" s="3" t="s">
        <v>65</v>
      </c>
      <c r="B24" t="s">
        <v>134</v>
      </c>
      <c r="C24" s="6">
        <v>45968</v>
      </c>
      <c r="D24" s="9">
        <v>45985</v>
      </c>
      <c r="E24" s="8" t="s">
        <v>135</v>
      </c>
    </row>
    <row r="25" spans="1:5" ht="17.25" thickBot="1" x14ac:dyDescent="0.3">
      <c r="A25" s="3" t="s">
        <v>66</v>
      </c>
      <c r="B25" t="s">
        <v>134</v>
      </c>
      <c r="C25" s="6">
        <v>45958</v>
      </c>
      <c r="D25" s="9">
        <v>45978</v>
      </c>
      <c r="E25" s="8" t="s">
        <v>129</v>
      </c>
    </row>
    <row r="26" spans="1:5" ht="17.25" thickBot="1" x14ac:dyDescent="0.3">
      <c r="A26" s="3" t="s">
        <v>67</v>
      </c>
      <c r="B26" t="s">
        <v>128</v>
      </c>
      <c r="C26" s="6">
        <v>45952</v>
      </c>
      <c r="D26" s="9">
        <v>45971</v>
      </c>
      <c r="E26" s="8" t="s">
        <v>135</v>
      </c>
    </row>
    <row r="27" spans="1:5" ht="17.25" thickBot="1" x14ac:dyDescent="0.3">
      <c r="A27" s="3" t="s">
        <v>68</v>
      </c>
      <c r="B27" t="s">
        <v>137</v>
      </c>
      <c r="C27" s="6">
        <v>45950</v>
      </c>
      <c r="D27" s="9">
        <v>45966</v>
      </c>
      <c r="E27" s="8" t="s">
        <v>129</v>
      </c>
    </row>
    <row r="28" spans="1:5" ht="17.25" thickBot="1" x14ac:dyDescent="0.3">
      <c r="A28" s="3" t="s">
        <v>69</v>
      </c>
      <c r="B28" t="s">
        <v>137</v>
      </c>
      <c r="C28" s="6">
        <v>45945</v>
      </c>
      <c r="D28" s="9">
        <v>45958</v>
      </c>
      <c r="E28" s="8" t="s">
        <v>127</v>
      </c>
    </row>
    <row r="29" spans="1:5" ht="17.25" thickBot="1" x14ac:dyDescent="0.3">
      <c r="A29" s="3" t="s">
        <v>70</v>
      </c>
      <c r="B29" t="s">
        <v>137</v>
      </c>
      <c r="C29" s="6">
        <v>45938</v>
      </c>
      <c r="D29" s="9">
        <v>45951</v>
      </c>
      <c r="E29" s="8" t="s">
        <v>132</v>
      </c>
    </row>
    <row r="30" spans="1:5" ht="17.25" thickBot="1" x14ac:dyDescent="0.3">
      <c r="A30" s="3" t="s">
        <v>71</v>
      </c>
      <c r="B30" t="s">
        <v>133</v>
      </c>
      <c r="C30" s="6">
        <v>45926</v>
      </c>
      <c r="D30" s="9">
        <v>45943</v>
      </c>
      <c r="E30" s="8" t="s">
        <v>129</v>
      </c>
    </row>
    <row r="31" spans="1:5" ht="17.25" thickBot="1" x14ac:dyDescent="0.3">
      <c r="A31" s="3" t="s">
        <v>72</v>
      </c>
      <c r="B31" t="s">
        <v>130</v>
      </c>
      <c r="C31" s="6">
        <v>45922</v>
      </c>
      <c r="D31" s="9">
        <v>45937</v>
      </c>
      <c r="E31" s="8" t="s">
        <v>127</v>
      </c>
    </row>
    <row r="32" spans="1:5" ht="17.25" thickBot="1" x14ac:dyDescent="0.3">
      <c r="A32" s="3" t="s">
        <v>73</v>
      </c>
      <c r="B32" t="s">
        <v>130</v>
      </c>
      <c r="C32" s="6">
        <v>45915</v>
      </c>
      <c r="D32" s="9">
        <v>45937</v>
      </c>
      <c r="E32" s="8" t="s">
        <v>129</v>
      </c>
    </row>
    <row r="33" spans="1:5" ht="17.25" thickBot="1" x14ac:dyDescent="0.3">
      <c r="A33" s="3" t="s">
        <v>74</v>
      </c>
      <c r="B33" t="s">
        <v>126</v>
      </c>
      <c r="C33" s="6">
        <v>45903</v>
      </c>
      <c r="D33" s="9">
        <v>45919</v>
      </c>
      <c r="E33" s="8" t="s">
        <v>135</v>
      </c>
    </row>
    <row r="34" spans="1:5" ht="17.25" thickBot="1" x14ac:dyDescent="0.3">
      <c r="A34" s="3" t="s">
        <v>75</v>
      </c>
      <c r="B34" t="s">
        <v>128</v>
      </c>
      <c r="C34" s="6">
        <v>45897</v>
      </c>
      <c r="D34" s="9">
        <v>45918</v>
      </c>
      <c r="E34" s="8" t="s">
        <v>135</v>
      </c>
    </row>
    <row r="35" spans="1:5" ht="17.25" thickBot="1" x14ac:dyDescent="0.3">
      <c r="A35" s="3" t="s">
        <v>76</v>
      </c>
      <c r="B35" t="s">
        <v>130</v>
      </c>
      <c r="C35" s="6">
        <v>45896</v>
      </c>
      <c r="D35" s="9">
        <v>45918</v>
      </c>
      <c r="E35" s="8" t="s">
        <v>135</v>
      </c>
    </row>
    <row r="36" spans="1:5" ht="17.25" thickBot="1" x14ac:dyDescent="0.3">
      <c r="A36" s="3" t="s">
        <v>77</v>
      </c>
      <c r="B36" t="s">
        <v>134</v>
      </c>
      <c r="C36" s="6">
        <v>45889</v>
      </c>
      <c r="D36" s="9">
        <v>45901</v>
      </c>
      <c r="E36" s="8" t="s">
        <v>129</v>
      </c>
    </row>
    <row r="37" spans="1:5" ht="17.25" thickBot="1" x14ac:dyDescent="0.3">
      <c r="A37" s="3" t="s">
        <v>78</v>
      </c>
      <c r="B37" t="s">
        <v>130</v>
      </c>
      <c r="C37" s="6">
        <v>45882</v>
      </c>
      <c r="D37" s="9">
        <v>45901</v>
      </c>
      <c r="E37" s="8" t="s">
        <v>127</v>
      </c>
    </row>
    <row r="38" spans="1:5" ht="17.25" thickBot="1" x14ac:dyDescent="0.3">
      <c r="A38" s="3" t="s">
        <v>79</v>
      </c>
      <c r="B38" t="s">
        <v>137</v>
      </c>
      <c r="C38" s="6">
        <v>45881</v>
      </c>
      <c r="D38" s="9">
        <v>45904</v>
      </c>
      <c r="E38" s="8" t="s">
        <v>129</v>
      </c>
    </row>
    <row r="39" spans="1:5" ht="17.25" thickBot="1" x14ac:dyDescent="0.3">
      <c r="A39" s="3" t="s">
        <v>80</v>
      </c>
      <c r="B39" t="s">
        <v>133</v>
      </c>
      <c r="C39" s="6">
        <v>45875</v>
      </c>
      <c r="D39" s="9">
        <v>45887</v>
      </c>
      <c r="E39" s="8" t="s">
        <v>135</v>
      </c>
    </row>
    <row r="40" spans="1:5" ht="17.25" thickBot="1" x14ac:dyDescent="0.3">
      <c r="A40" s="3" t="s">
        <v>81</v>
      </c>
      <c r="B40" t="s">
        <v>137</v>
      </c>
      <c r="C40" s="6">
        <v>45863</v>
      </c>
      <c r="D40" s="9">
        <v>45882</v>
      </c>
      <c r="E40" s="8" t="s">
        <v>135</v>
      </c>
    </row>
    <row r="41" spans="1:5" ht="17.25" thickBot="1" x14ac:dyDescent="0.3">
      <c r="A41" s="3" t="s">
        <v>82</v>
      </c>
      <c r="B41" t="s">
        <v>126</v>
      </c>
      <c r="C41" s="6">
        <v>45859</v>
      </c>
      <c r="D41" s="9">
        <v>45874</v>
      </c>
      <c r="E41" s="8" t="s">
        <v>129</v>
      </c>
    </row>
    <row r="42" spans="1:5" ht="17.25" thickBot="1" x14ac:dyDescent="0.3">
      <c r="A42" s="3" t="s">
        <v>83</v>
      </c>
      <c r="B42" t="s">
        <v>133</v>
      </c>
      <c r="C42" s="6">
        <v>45856</v>
      </c>
      <c r="D42" s="9">
        <v>45869</v>
      </c>
      <c r="E42" s="8" t="s">
        <v>132</v>
      </c>
    </row>
    <row r="43" spans="1:5" ht="17.25" thickBot="1" x14ac:dyDescent="0.3">
      <c r="A43" s="3" t="s">
        <v>84</v>
      </c>
      <c r="B43" t="s">
        <v>133</v>
      </c>
      <c r="C43" s="6">
        <v>45852</v>
      </c>
      <c r="D43" s="9">
        <v>45870</v>
      </c>
      <c r="E43" s="8" t="s">
        <v>129</v>
      </c>
    </row>
    <row r="44" spans="1:5" ht="17.25" thickBot="1" x14ac:dyDescent="0.3">
      <c r="A44" s="3" t="s">
        <v>85</v>
      </c>
      <c r="B44" t="s">
        <v>130</v>
      </c>
      <c r="C44" s="6">
        <v>45845</v>
      </c>
      <c r="D44" s="9">
        <v>45869</v>
      </c>
      <c r="E44" s="8" t="s">
        <v>127</v>
      </c>
    </row>
    <row r="45" spans="1:5" ht="17.25" thickBot="1" x14ac:dyDescent="0.3">
      <c r="A45" s="3" t="s">
        <v>86</v>
      </c>
      <c r="B45" t="s">
        <v>126</v>
      </c>
      <c r="C45" s="6">
        <v>45834</v>
      </c>
      <c r="D45" s="9">
        <v>45849</v>
      </c>
      <c r="E45" s="8" t="s">
        <v>129</v>
      </c>
    </row>
    <row r="46" spans="1:5" ht="17.25" thickBot="1" x14ac:dyDescent="0.3">
      <c r="A46" s="3" t="s">
        <v>87</v>
      </c>
      <c r="B46" t="s">
        <v>134</v>
      </c>
      <c r="C46" s="6">
        <v>45833</v>
      </c>
      <c r="D46" s="9">
        <v>45855</v>
      </c>
      <c r="E46" s="8" t="s">
        <v>135</v>
      </c>
    </row>
    <row r="47" spans="1:5" ht="17.25" thickBot="1" x14ac:dyDescent="0.3">
      <c r="A47" s="3" t="s">
        <v>88</v>
      </c>
      <c r="B47" t="s">
        <v>126</v>
      </c>
      <c r="C47" s="6">
        <v>45820</v>
      </c>
      <c r="D47" s="9">
        <v>45841</v>
      </c>
      <c r="E47" s="8" t="s">
        <v>135</v>
      </c>
    </row>
    <row r="48" spans="1:5" ht="17.25" thickBot="1" x14ac:dyDescent="0.3">
      <c r="A48" s="3" t="s">
        <v>89</v>
      </c>
      <c r="B48" t="s">
        <v>131</v>
      </c>
      <c r="C48" s="6">
        <v>45810</v>
      </c>
      <c r="D48" s="9">
        <v>45824</v>
      </c>
      <c r="E48" s="8" t="s">
        <v>129</v>
      </c>
    </row>
    <row r="49" spans="1:5" ht="17.25" thickBot="1" x14ac:dyDescent="0.3">
      <c r="A49" s="3" t="s">
        <v>90</v>
      </c>
      <c r="B49" t="s">
        <v>128</v>
      </c>
      <c r="C49" s="6">
        <v>45807</v>
      </c>
      <c r="D49" s="9">
        <v>45825</v>
      </c>
      <c r="E49" s="8" t="s">
        <v>129</v>
      </c>
    </row>
    <row r="50" spans="1:5" ht="17.25" thickBot="1" x14ac:dyDescent="0.3">
      <c r="A50" s="3" t="s">
        <v>91</v>
      </c>
      <c r="B50" t="s">
        <v>131</v>
      </c>
      <c r="C50" s="6">
        <v>45804</v>
      </c>
      <c r="D50" s="9">
        <v>45826</v>
      </c>
      <c r="E50" s="8" t="s">
        <v>127</v>
      </c>
    </row>
    <row r="51" spans="1:5" ht="17.25" thickBot="1" x14ac:dyDescent="0.3">
      <c r="A51" s="3" t="s">
        <v>92</v>
      </c>
      <c r="B51" t="s">
        <v>137</v>
      </c>
      <c r="C51" s="6">
        <v>45797</v>
      </c>
      <c r="D51" s="9">
        <v>45811</v>
      </c>
      <c r="E51" s="8" t="s">
        <v>132</v>
      </c>
    </row>
    <row r="52" spans="1:5" ht="17.25" thickBot="1" x14ac:dyDescent="0.3">
      <c r="A52" s="3" t="s">
        <v>71</v>
      </c>
      <c r="B52" t="s">
        <v>126</v>
      </c>
      <c r="C52" s="6">
        <v>45789</v>
      </c>
      <c r="D52" s="9">
        <v>45811</v>
      </c>
      <c r="E52" s="8" t="s">
        <v>129</v>
      </c>
    </row>
    <row r="53" spans="1:5" ht="17.25" thickBot="1" x14ac:dyDescent="0.3">
      <c r="A53" s="3" t="s">
        <v>72</v>
      </c>
      <c r="B53" t="s">
        <v>126</v>
      </c>
      <c r="C53" s="6">
        <v>45785</v>
      </c>
      <c r="D53" s="9">
        <v>45807</v>
      </c>
      <c r="E53" s="8" t="s">
        <v>127</v>
      </c>
    </row>
    <row r="54" spans="1:5" ht="17.25" thickBot="1" x14ac:dyDescent="0.3">
      <c r="A54" s="3" t="s">
        <v>73</v>
      </c>
      <c r="B54" t="s">
        <v>133</v>
      </c>
      <c r="C54" s="6">
        <v>45778</v>
      </c>
      <c r="D54" s="9">
        <v>45793</v>
      </c>
      <c r="E54" s="8" t="s">
        <v>129</v>
      </c>
    </row>
    <row r="55" spans="1:5" ht="17.25" thickBot="1" x14ac:dyDescent="0.3">
      <c r="A55" s="3" t="s">
        <v>74</v>
      </c>
      <c r="B55" t="s">
        <v>134</v>
      </c>
      <c r="C55" s="6">
        <v>45771</v>
      </c>
      <c r="D55" s="9">
        <v>45790</v>
      </c>
      <c r="E55" s="8" t="s">
        <v>127</v>
      </c>
    </row>
    <row r="56" spans="1:5" ht="17.25" thickBot="1" x14ac:dyDescent="0.3">
      <c r="A56" s="3" t="s">
        <v>79</v>
      </c>
      <c r="B56" t="s">
        <v>126</v>
      </c>
      <c r="C56" s="6">
        <v>45763</v>
      </c>
      <c r="D56" s="9">
        <v>45784</v>
      </c>
      <c r="E56" s="8" t="s">
        <v>135</v>
      </c>
    </row>
    <row r="57" spans="1:5" ht="17.25" thickBot="1" x14ac:dyDescent="0.3">
      <c r="A57" s="3" t="s">
        <v>78</v>
      </c>
      <c r="B57" t="s">
        <v>137</v>
      </c>
      <c r="C57" s="6">
        <v>45756</v>
      </c>
      <c r="D57" s="9">
        <v>45779</v>
      </c>
      <c r="E57" s="8" t="s">
        <v>129</v>
      </c>
    </row>
    <row r="58" spans="1:5" ht="17.25" thickBot="1" x14ac:dyDescent="0.3">
      <c r="A58" s="3" t="s">
        <v>80</v>
      </c>
      <c r="B58" t="s">
        <v>126</v>
      </c>
      <c r="C58" s="6">
        <v>45750</v>
      </c>
      <c r="D58" s="9">
        <v>45770</v>
      </c>
      <c r="E58" s="8" t="s">
        <v>135</v>
      </c>
    </row>
    <row r="59" spans="1:5" ht="17.25" thickBot="1" x14ac:dyDescent="0.3">
      <c r="A59" s="3" t="s">
        <v>81</v>
      </c>
      <c r="B59" t="s">
        <v>128</v>
      </c>
      <c r="C59" s="6">
        <v>45740</v>
      </c>
      <c r="D59" s="9">
        <v>45755</v>
      </c>
      <c r="E59" s="8" t="s">
        <v>129</v>
      </c>
    </row>
    <row r="60" spans="1:5" ht="17.25" thickBot="1" x14ac:dyDescent="0.3">
      <c r="A60" s="3" t="s">
        <v>82</v>
      </c>
      <c r="B60" t="s">
        <v>133</v>
      </c>
      <c r="C60" s="6">
        <v>45736</v>
      </c>
      <c r="D60" s="9">
        <v>45750</v>
      </c>
      <c r="E60" s="8" t="s">
        <v>127</v>
      </c>
    </row>
    <row r="61" spans="1:5" ht="17.25" thickBot="1" x14ac:dyDescent="0.3">
      <c r="A61" s="3" t="s">
        <v>87</v>
      </c>
      <c r="B61" t="s">
        <v>126</v>
      </c>
      <c r="C61" s="6">
        <v>45722</v>
      </c>
      <c r="D61" s="9">
        <v>45744</v>
      </c>
      <c r="E61" s="8" t="s">
        <v>132</v>
      </c>
    </row>
    <row r="62" spans="1:5" ht="17.25" thickBot="1" x14ac:dyDescent="0.3">
      <c r="A62" s="3" t="s">
        <v>86</v>
      </c>
      <c r="B62" t="s">
        <v>134</v>
      </c>
      <c r="C62" s="6">
        <v>45720</v>
      </c>
      <c r="D62" s="9">
        <v>45733</v>
      </c>
      <c r="E62" s="8" t="s">
        <v>127</v>
      </c>
    </row>
    <row r="63" spans="1:5" ht="17.25" thickBot="1" x14ac:dyDescent="0.3">
      <c r="A63" s="3" t="s">
        <v>88</v>
      </c>
      <c r="B63" t="s">
        <v>133</v>
      </c>
      <c r="C63" s="6">
        <v>45713</v>
      </c>
      <c r="D63" s="9">
        <v>45729</v>
      </c>
      <c r="E63" s="8" t="s">
        <v>129</v>
      </c>
    </row>
    <row r="64" spans="1:5" ht="17.25" thickBot="1" x14ac:dyDescent="0.3">
      <c r="A64" s="3" t="s">
        <v>81</v>
      </c>
      <c r="B64" t="s">
        <v>126</v>
      </c>
      <c r="C64" s="6">
        <v>45701</v>
      </c>
      <c r="D64" s="9">
        <v>45720</v>
      </c>
      <c r="E64" s="8" t="s">
        <v>127</v>
      </c>
    </row>
    <row r="65" spans="1:5" ht="17.25" thickBot="1" x14ac:dyDescent="0.3">
      <c r="A65" s="3" t="s">
        <v>82</v>
      </c>
      <c r="B65" t="s">
        <v>133</v>
      </c>
      <c r="C65" s="6">
        <v>45699</v>
      </c>
      <c r="D65" s="9">
        <v>45722</v>
      </c>
      <c r="E65" s="8" t="s">
        <v>129</v>
      </c>
    </row>
    <row r="66" spans="1:5" ht="17.25" thickBot="1" x14ac:dyDescent="0.3">
      <c r="A66" s="3" t="s">
        <v>83</v>
      </c>
      <c r="B66" t="s">
        <v>126</v>
      </c>
      <c r="C66" s="6">
        <v>45694</v>
      </c>
      <c r="D66" s="9">
        <v>45719</v>
      </c>
      <c r="E66" s="8" t="s">
        <v>127</v>
      </c>
    </row>
    <row r="67" spans="1:5" ht="17.25" thickBot="1" x14ac:dyDescent="0.3">
      <c r="A67" s="3" t="s">
        <v>84</v>
      </c>
      <c r="B67" t="s">
        <v>128</v>
      </c>
      <c r="C67" s="6">
        <v>45694</v>
      </c>
      <c r="D67" s="9">
        <v>45712</v>
      </c>
      <c r="E67" s="8" t="s">
        <v>135</v>
      </c>
    </row>
    <row r="68" spans="1:5" ht="17.25" thickBot="1" x14ac:dyDescent="0.3">
      <c r="A68" s="3" t="s">
        <v>85</v>
      </c>
      <c r="B68" t="s">
        <v>126</v>
      </c>
      <c r="C68" s="6">
        <v>45685</v>
      </c>
      <c r="D68" s="9">
        <v>45706</v>
      </c>
      <c r="E68" s="8" t="s">
        <v>129</v>
      </c>
    </row>
    <row r="69" spans="1:5" ht="17.25" thickBot="1" x14ac:dyDescent="0.3">
      <c r="A69" s="3" t="s">
        <v>87</v>
      </c>
      <c r="B69" t="s">
        <v>126</v>
      </c>
      <c r="C69" s="6">
        <v>45671</v>
      </c>
      <c r="D69" s="9">
        <v>45700</v>
      </c>
      <c r="E69" s="8" t="s">
        <v>135</v>
      </c>
    </row>
    <row r="70" spans="1:5" ht="17.25" thickBot="1" x14ac:dyDescent="0.3">
      <c r="A70" s="3" t="s">
        <v>86</v>
      </c>
      <c r="B70" t="s">
        <v>126</v>
      </c>
      <c r="C70" s="6">
        <v>45667</v>
      </c>
      <c r="D70" s="9">
        <v>45688</v>
      </c>
      <c r="E70" s="8" t="s">
        <v>135</v>
      </c>
    </row>
    <row r="71" spans="1:5" ht="17.25" thickBot="1" x14ac:dyDescent="0.3">
      <c r="A71" s="3" t="s">
        <v>88</v>
      </c>
      <c r="B71" t="s">
        <v>126</v>
      </c>
      <c r="C71" s="6">
        <v>45660</v>
      </c>
      <c r="D71" s="9">
        <v>45680</v>
      </c>
      <c r="E71" s="8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Ventes</vt:lpstr>
      <vt:lpstr>Client</vt:lpstr>
      <vt:lpstr>Commandes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Vergara</dc:creator>
  <cp:lastModifiedBy>Victor Vergara</cp:lastModifiedBy>
  <dcterms:created xsi:type="dcterms:W3CDTF">2026-04-29T15:34:13Z</dcterms:created>
  <dcterms:modified xsi:type="dcterms:W3CDTF">2026-04-30T17:05:56Z</dcterms:modified>
</cp:coreProperties>
</file>